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SER\Downloads\"/>
    </mc:Choice>
  </mc:AlternateContent>
  <xr:revisionPtr revIDLastSave="0" documentId="13_ncr:1_{82556296-73D1-4179-B72E-A68A2D1D6D57}" xr6:coauthVersionLast="47" xr6:coauthVersionMax="47" xr10:uidLastSave="{00000000-0000-0000-0000-000000000000}"/>
  <bookViews>
    <workbookView xWindow="-108" yWindow="-108" windowWidth="23256" windowHeight="12576" tabRatio="816" activeTab="3" xr2:uid="{00000000-000D-0000-FFFF-FFFF00000000}"/>
  </bookViews>
  <sheets>
    <sheet name="الارشادات" sheetId="3" r:id="rId1"/>
    <sheet name="Pivot table" sheetId="5" r:id="rId2"/>
    <sheet name="Source Data" sheetId="8" r:id="rId3"/>
    <sheet name="Dashboard" sheetId="10" r:id="rId4"/>
  </sheets>
  <definedNames>
    <definedName name="ExternalData_1" localSheetId="2" hidden="1">'Source Data'!$A$1:$W$112</definedName>
    <definedName name="_xlnm.Print_Area" localSheetId="3">Dashboard!$A$1:$AD$39</definedName>
    <definedName name="Slicer_المحافظة">#N/A</definedName>
    <definedName name="Slicer_منصة_البيع">#N/A</definedName>
    <definedName name="Slicer_نوع_العميل">#N/A</definedName>
  </definedNames>
  <calcPr calcId="191028"/>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8" l="1"/>
  <c r="S7" i="8"/>
  <c r="S8" i="8"/>
  <c r="S9" i="8"/>
  <c r="S10" i="8"/>
  <c r="S12" i="8"/>
  <c r="S13" i="8"/>
  <c r="S15" i="8"/>
  <c r="S16" i="8"/>
  <c r="S18" i="8"/>
  <c r="S19" i="8"/>
  <c r="S21" i="8"/>
  <c r="S22" i="8"/>
  <c r="S23" i="8"/>
  <c r="S24" i="8"/>
  <c r="S25" i="8"/>
  <c r="S27" i="8"/>
  <c r="S28" i="8"/>
  <c r="S31" i="8"/>
  <c r="S32" i="8"/>
  <c r="S33" i="8"/>
  <c r="S35" i="8"/>
  <c r="S36" i="8"/>
  <c r="S37" i="8"/>
  <c r="S38" i="8"/>
  <c r="S39" i="8"/>
  <c r="S41" i="8"/>
  <c r="S42" i="8"/>
  <c r="S43" i="8"/>
  <c r="S44" i="8"/>
  <c r="S45" i="8"/>
  <c r="S46" i="8"/>
  <c r="S47" i="8"/>
  <c r="S49" i="8"/>
  <c r="S50" i="8"/>
  <c r="S51" i="8"/>
  <c r="S53" i="8"/>
  <c r="S54" i="8"/>
  <c r="S55" i="8"/>
  <c r="S56" i="8"/>
  <c r="S57" i="8"/>
  <c r="S58" i="8"/>
  <c r="S59" i="8"/>
  <c r="S60" i="8"/>
  <c r="S61" i="8"/>
  <c r="S63" i="8"/>
  <c r="S65" i="8"/>
  <c r="S66" i="8"/>
  <c r="S67" i="8"/>
  <c r="S68" i="8"/>
  <c r="S69" i="8"/>
  <c r="S71" i="8"/>
  <c r="S72" i="8"/>
  <c r="S73" i="8"/>
  <c r="S74" i="8"/>
  <c r="S75" i="8"/>
  <c r="S76" i="8"/>
  <c r="S77" i="8"/>
  <c r="S78" i="8"/>
  <c r="S80" i="8"/>
  <c r="S81" i="8"/>
  <c r="S83" i="8"/>
  <c r="S84" i="8"/>
  <c r="S85" i="8"/>
  <c r="S86" i="8"/>
  <c r="S87" i="8"/>
  <c r="S88" i="8"/>
  <c r="S89" i="8"/>
  <c r="S90" i="8"/>
  <c r="S91" i="8"/>
  <c r="S92" i="8"/>
  <c r="S93" i="8"/>
  <c r="S94" i="8"/>
  <c r="S95" i="8"/>
  <c r="S97" i="8"/>
  <c r="S98" i="8"/>
  <c r="S99" i="8"/>
  <c r="S100" i="8"/>
  <c r="S101" i="8"/>
  <c r="S107" i="8"/>
  <c r="S108" i="8"/>
  <c r="S109" i="8"/>
  <c r="S110" i="8"/>
  <c r="S111" i="8"/>
  <c r="S112"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D13" i="5"/>
  <c r="A15" i="5"/>
  <c r="T15" i="5"/>
  <c r="G1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304EFBDB-2569-44BD-A7CE-A897133CB8B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<sst xmlns="http://schemas.openxmlformats.org/spreadsheetml/2006/main" count="1538" uniqueCount="319">
  <si>
    <t>العنوان</t>
  </si>
  <si>
    <t>المنتج</t>
  </si>
  <si>
    <t>تاريخ التسليم</t>
  </si>
  <si>
    <t>المسئول عن التسليم</t>
  </si>
  <si>
    <t>هومزمارت</t>
  </si>
  <si>
    <t xml:space="preserve">سعر البيع </t>
  </si>
  <si>
    <t>ميعاد التسليم</t>
  </si>
  <si>
    <t>ميعاد الطلب</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</si>
  <si>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</si>
  <si>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</si>
  <si>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</si>
  <si>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</si>
  <si>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</si>
  <si>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</si>
  <si>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</si>
  <si>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</si>
  <si>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</si>
  <si>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</si>
  <si>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</si>
  <si>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</si>
  <si>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</si>
  <si>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سرير نوفال متر رمادى </t>
  </si>
  <si>
    <t xml:space="preserve">كنبه سرير رمادى </t>
  </si>
  <si>
    <t>التجمع الخامس</t>
  </si>
  <si>
    <t>yilmaz</t>
  </si>
  <si>
    <t xml:space="preserve">٦ اكتوبر الجيزه </t>
  </si>
  <si>
    <t xml:space="preserve">سرير فردى ابيض </t>
  </si>
  <si>
    <t>العباسيه</t>
  </si>
  <si>
    <t>تاكى</t>
  </si>
  <si>
    <t xml:space="preserve">ركنه </t>
  </si>
  <si>
    <t>٢ كنبه سحاره بمخدع</t>
  </si>
  <si>
    <t xml:space="preserve">العباسيه </t>
  </si>
  <si>
    <t xml:space="preserve">٢ كنبه سحاره بدون مخدع </t>
  </si>
  <si>
    <t>مصر الجديده</t>
  </si>
  <si>
    <t>سرير نوفال ابيض مقاس ٨٠</t>
  </si>
  <si>
    <t xml:space="preserve">سرير كينج ابيض </t>
  </si>
  <si>
    <t>شيك هومز</t>
  </si>
  <si>
    <t xml:space="preserve">سرير كينج اسود </t>
  </si>
  <si>
    <t xml:space="preserve">التجمع الخامس </t>
  </si>
  <si>
    <t xml:space="preserve">٢ سرير كيفنج ١٢٠ اسود </t>
  </si>
  <si>
    <t>ellho elkafy</t>
  </si>
  <si>
    <t xml:space="preserve">مدينه نصر </t>
  </si>
  <si>
    <t xml:space="preserve">سرير كينج ابيض مقاس ٨٠ التصميم الجديد </t>
  </si>
  <si>
    <t xml:space="preserve">المقطم </t>
  </si>
  <si>
    <t xml:space="preserve">ترابيزه قهوه علويه جديده </t>
  </si>
  <si>
    <t xml:space="preserve">٢ فوتيه فنيسيا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</si>
  <si>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</si>
  <si>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</si>
  <si>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</si>
  <si>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</si>
  <si>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</si>
  <si>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القطاميه </t>
  </si>
  <si>
    <t xml:space="preserve">الشروق القاهره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</si>
  <si>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</si>
  <si>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</si>
  <si>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</si>
  <si>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</si>
  <si>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</si>
  <si>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</si>
  <si>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</si>
  <si>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</si>
  <si>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</si>
  <si>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</si>
  <si>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</si>
  <si>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</si>
  <si>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سرير كيفنج دورين مقاس ٨٠ ابيض </t>
  </si>
  <si>
    <t xml:space="preserve">سرير ٣ ادوار ابيض مقاس ٨٠ ابيض </t>
  </si>
  <si>
    <t xml:space="preserve">لافيستا العين السخنه </t>
  </si>
  <si>
    <t>سرير استيل ازرق مقاس ١٤٠</t>
  </si>
  <si>
    <t>سرير اسبانى اسود مقاس ١٢٠</t>
  </si>
  <si>
    <t xml:space="preserve">سرير كينج ١٢٠ بنفسجى </t>
  </si>
  <si>
    <t>وائل صادق</t>
  </si>
  <si>
    <t xml:space="preserve">سرير كوين مقاس ١٤٠ دهبي ورمادى </t>
  </si>
  <si>
    <t xml:space="preserve">القاهره الجديده </t>
  </si>
  <si>
    <t xml:space="preserve">كنبه سرير ٤ حركه </t>
  </si>
  <si>
    <t>سرير منطبق اسود حديد وقماش</t>
  </si>
  <si>
    <t>صفاء</t>
  </si>
  <si>
    <t>المعادى</t>
  </si>
  <si>
    <t xml:space="preserve">سرير ٣ ادوار اسود مقاس ٩٠ </t>
  </si>
  <si>
    <t xml:space="preserve">اسيوط </t>
  </si>
  <si>
    <t xml:space="preserve">سرير كيفنج دورين مقاس ١٢٠ رمادى </t>
  </si>
  <si>
    <t>حسام عبدون</t>
  </si>
  <si>
    <t>الغردقه</t>
  </si>
  <si>
    <t>ميار خورشد</t>
  </si>
  <si>
    <t xml:space="preserve">سرير منطبق اسود حديد ومعدن </t>
  </si>
  <si>
    <t xml:space="preserve">الشيخ زايد ٦ اكتوبر </t>
  </si>
  <si>
    <t xml:space="preserve">سرير اسبانى  ١٤٠ اسود وبيج </t>
  </si>
  <si>
    <t xml:space="preserve">تربيزه قهوه مرتفعه برف سحاب </t>
  </si>
  <si>
    <t xml:space="preserve">سرير نوفال ١٠٠ رمادى </t>
  </si>
  <si>
    <t>الرحاب</t>
  </si>
  <si>
    <t xml:space="preserve"> ٢. سرير فورجينا ابيض مقاس ١٢٠</t>
  </si>
  <si>
    <t>ساره</t>
  </si>
  <si>
    <t xml:space="preserve">   ٢. سرير اسبانى ابيض ١٢٠</t>
  </si>
  <si>
    <t>رحاب</t>
  </si>
  <si>
    <t>العبور</t>
  </si>
  <si>
    <t xml:space="preserve">سرير نوفال مقاس ٨٠ ابيض </t>
  </si>
  <si>
    <t>فيصل الجيزه</t>
  </si>
  <si>
    <t>تربيزه قهوه ٢ رافع</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</si>
  <si>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</si>
  <si>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</si>
  <si>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</si>
  <si>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</si>
  <si>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</si>
  <si>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</si>
  <si>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</si>
  <si>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</si>
  <si>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</si>
  <si>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</si>
  <si>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</si>
  <si>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</si>
  <si>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</si>
  <si>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</si>
  <si>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</si>
  <si>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</si>
  <si>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</si>
  <si>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كنبة</t>
  </si>
  <si>
    <t>4*1</t>
  </si>
  <si>
    <t>دورين</t>
  </si>
  <si>
    <t>ابيض</t>
  </si>
  <si>
    <t>اسود</t>
  </si>
  <si>
    <t>ارفيل</t>
  </si>
  <si>
    <t>ازرق</t>
  </si>
  <si>
    <t>ثلاثه ادوار</t>
  </si>
  <si>
    <t>رمادى</t>
  </si>
  <si>
    <t>بنفسجى</t>
  </si>
  <si>
    <t>المقاس</t>
  </si>
  <si>
    <t>دهبي</t>
  </si>
  <si>
    <t>فورجينا</t>
  </si>
  <si>
    <t>اللون المعدن</t>
  </si>
  <si>
    <t>لون القماش</t>
  </si>
  <si>
    <t>mohannad</t>
  </si>
  <si>
    <t>EL-Maadi</t>
  </si>
  <si>
    <t>Mohamed Ayman</t>
  </si>
  <si>
    <t>Madinet Badr</t>
  </si>
  <si>
    <t>2 ميكانزم</t>
  </si>
  <si>
    <t>بمكتبة</t>
  </si>
  <si>
    <t>رف سحاب</t>
  </si>
  <si>
    <t>الحالة</t>
  </si>
  <si>
    <t>اسامه</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</si>
  <si>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</si>
  <si>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</si>
  <si>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</si>
  <si>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</si>
  <si>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</si>
  <si>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</si>
  <si>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</si>
  <si>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 xml:space="preserve">اسود </t>
  </si>
  <si>
    <t>مرتجع</t>
  </si>
  <si>
    <t>الحج محمد السويس</t>
  </si>
  <si>
    <t xml:space="preserve">السويس </t>
  </si>
  <si>
    <t>السويس</t>
  </si>
  <si>
    <t>فنيسيا</t>
  </si>
  <si>
    <t>رصاصي مشجر</t>
  </si>
  <si>
    <t>بيج</t>
  </si>
  <si>
    <t xml:space="preserve">نبيتى </t>
  </si>
  <si>
    <t>عمرو الأسود</t>
  </si>
  <si>
    <t>الزمالك</t>
  </si>
  <si>
    <t>مخزن شيك هومز</t>
  </si>
  <si>
    <t xml:space="preserve">تم التسليم بمعرفه الحج سيد </t>
  </si>
  <si>
    <t xml:space="preserve">أكتوبر </t>
  </si>
  <si>
    <t>التجمع</t>
  </si>
  <si>
    <t>keira</t>
  </si>
  <si>
    <t xml:space="preserve">نوفال </t>
  </si>
  <si>
    <t>١٤٠/١٠٠</t>
  </si>
  <si>
    <t>بينك</t>
  </si>
  <si>
    <t>tarek</t>
  </si>
  <si>
    <t>reem</t>
  </si>
  <si>
    <t>البطاش اسكندريه</t>
  </si>
  <si>
    <t>١٠٠/١٤٠</t>
  </si>
  <si>
    <t>هشام سامى</t>
  </si>
  <si>
    <t>41 كومبوند جولدن جستس الدور 4 شقه 4</t>
  </si>
  <si>
    <t>بلحه</t>
  </si>
  <si>
    <t>خشب بنى فاتح</t>
  </si>
  <si>
    <t>فانتستيك</t>
  </si>
  <si>
    <t>الوان</t>
  </si>
  <si>
    <t>المعرض مدينه نصر</t>
  </si>
  <si>
    <t>فاطمه محمد</t>
  </si>
  <si>
    <t>أكتوبر الجيزه</t>
  </si>
  <si>
    <t>الشيخ زايد اكتوبر</t>
  </si>
  <si>
    <t>بولا هومزمارت</t>
  </si>
  <si>
    <t>ارينا</t>
  </si>
  <si>
    <t>بترولى</t>
  </si>
  <si>
    <t>منزلى</t>
  </si>
  <si>
    <t>مدينتى</t>
  </si>
  <si>
    <t>حماده</t>
  </si>
  <si>
    <t>صفاء عبد الباقي</t>
  </si>
  <si>
    <t xml:space="preserve">كينج </t>
  </si>
  <si>
    <t>المخزن</t>
  </si>
  <si>
    <t xml:space="preserve">دورين </t>
  </si>
  <si>
    <t xml:space="preserve">كيفنج </t>
  </si>
  <si>
    <t>٦ اكتوبر الجيزه</t>
  </si>
  <si>
    <t xml:space="preserve">فردى </t>
  </si>
  <si>
    <t>امريكى</t>
  </si>
  <si>
    <t>محمد حمدى</t>
  </si>
  <si>
    <t>فيسبوك</t>
  </si>
  <si>
    <t xml:space="preserve">كوين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</si>
  <si>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</si>
  <si>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</si>
  <si>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</si>
  <si>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</si>
  <si>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</si>
  <si>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</si>
  <si>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</si>
  <si>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</si>
  <si>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</si>
  <si>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ميكانزم</t>
  </si>
  <si>
    <t>ابيض في بنى غامق</t>
  </si>
  <si>
    <t>احمد عبد الستار</t>
  </si>
  <si>
    <t>المندره اسكندريه</t>
  </si>
  <si>
    <t>بنى غامق</t>
  </si>
  <si>
    <t>نور</t>
  </si>
  <si>
    <t>تامر</t>
  </si>
  <si>
    <t>هناء اسامه</t>
  </si>
  <si>
    <t>القطاميه</t>
  </si>
  <si>
    <t>مريم عنان</t>
  </si>
  <si>
    <t xml:space="preserve">اب تاون كايرو التجمع </t>
  </si>
  <si>
    <t>حمدى ذكرى</t>
  </si>
  <si>
    <t>روك ١٠</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</si>
  <si>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</si>
  <si>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</si>
  <si>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</si>
  <si>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</si>
  <si>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</si>
  <si>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</si>
  <si>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</si>
  <si>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</si>
  <si>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</si>
  <si>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</si>
  <si>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</si>
  <si>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</si>
  <si>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</si>
  <si>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الصنف</t>
  </si>
  <si>
    <t xml:space="preserve">نوع الصنف </t>
  </si>
  <si>
    <t xml:space="preserve">اسم الصنف </t>
  </si>
  <si>
    <t>نوع العميل</t>
  </si>
  <si>
    <t xml:space="preserve">اسم العميل </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</si>
  <si>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</si>
  <si>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</si>
  <si>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</si>
  <si>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</si>
  <si>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</si>
  <si>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</si>
  <si>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</si>
  <si>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</si>
  <si>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</si>
  <si>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</si>
  <si>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</si>
  <si>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</si>
  <si>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</si>
  <si>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</si>
  <si>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</si>
  <si>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</si>
  <si>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</si>
  <si>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</si>
  <si>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</si>
  <si>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</si>
  <si>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</si>
  <si>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</si>
  <si>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</si>
  <si>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</si>
  <si>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</si>
  <si>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</si>
  <si>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</si>
  <si>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</si>
  <si>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</si>
  <si>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</si>
  <si>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</si>
  <si>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</si>
  <si>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</si>
  <si>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تاكي</t>
  </si>
  <si>
    <t>المحافظة</t>
  </si>
  <si>
    <t>الجيزة</t>
  </si>
  <si>
    <t>القاهرة</t>
  </si>
  <si>
    <t>مده التسليم(الهدف)</t>
  </si>
  <si>
    <t>مده التسليم (الفعلى)</t>
  </si>
  <si>
    <t>كاش</t>
  </si>
  <si>
    <t>طريقه الدفع</t>
  </si>
  <si>
    <t>0</t>
  </si>
  <si>
    <t>أفراد</t>
  </si>
  <si>
    <t>شركات</t>
  </si>
  <si>
    <t>الكمية</t>
  </si>
  <si>
    <t>غير محدد</t>
  </si>
  <si>
    <t>كرسي</t>
  </si>
  <si>
    <t>غير معروف</t>
  </si>
  <si>
    <t>سعر الوحده</t>
  </si>
  <si>
    <t xml:space="preserve">Sum of سعر البيع </t>
  </si>
  <si>
    <t>Row Labels</t>
  </si>
  <si>
    <t>Grand Total</t>
  </si>
  <si>
    <t>(All)</t>
  </si>
  <si>
    <t>Total Sales</t>
  </si>
  <si>
    <t>Total Orders</t>
  </si>
  <si>
    <t>Sum of الكمية</t>
  </si>
  <si>
    <t xml:space="preserve">Count of اسم العميل </t>
  </si>
  <si>
    <t>Average Selling Price</t>
  </si>
  <si>
    <t>Average of سعر الوحده</t>
  </si>
  <si>
    <t>Sales By Platform</t>
  </si>
  <si>
    <t>Best Seller</t>
  </si>
  <si>
    <t>Best Color Sold</t>
  </si>
  <si>
    <t>Count of لون القماش</t>
  </si>
  <si>
    <t>On-Time Delivery Rate</t>
  </si>
  <si>
    <t>تم التسليم في الموعد</t>
  </si>
  <si>
    <t>Count of الحالة</t>
  </si>
  <si>
    <t>Delivery Status Breakdown</t>
  </si>
  <si>
    <t>Orders By Area</t>
  </si>
  <si>
    <t>Customs Type</t>
  </si>
  <si>
    <t>Count of نوع العميل</t>
  </si>
  <si>
    <t>منصة البيع</t>
  </si>
  <si>
    <t>اوسكار ريتن</t>
  </si>
  <si>
    <t>كيمت</t>
  </si>
  <si>
    <t>نبيتى</t>
  </si>
  <si>
    <t>التسليم فى الموعد</t>
  </si>
  <si>
    <t>مرفوض</t>
  </si>
  <si>
    <t>الإسكندرية</t>
  </si>
  <si>
    <t>مطروح</t>
  </si>
  <si>
    <t>البحر الأحمر</t>
  </si>
  <si>
    <t>القليوبية</t>
  </si>
  <si>
    <t>أسيوط</t>
  </si>
  <si>
    <t>المحافظه</t>
  </si>
  <si>
    <t>لم يتم التسليم في الموعد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</si>
</sst>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2">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sz val="11"/>
      <color indexed="8"/>
      <name val="Calibri"/>
      <charset val="134"/>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43" fontId="10" fillId="0" borderId="0" applyFont="0" applyFill="0" applyBorder="0" applyAlignment="0" applyProtection="0"/>
    <xf numFmtId="9" fontId="10" fillId="0" borderId="0" applyFont="0" applyFill="0" applyBorder="0" applyAlignment="0" applyProtection="0"/>
  </cellStyleXfs>
  <cellXfs count="24">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14" fontId="0" fillId="0" borderId="0" xfId="0" applyNumberFormat="1"/>
    <xf numFmtId="0" fontId="0" fillId="0" borderId="0" xfId="0" applyAlignment="1">
      <alignment vertical="center"/>
    </xf>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9" fontId="0" fillId="0" borderId="0" xfId="0" applyNumberFormat="1"/>
    <xf numFmtId="0" fontId="11" fillId="0" borderId="0" xfId="0" applyFont="1"/>
    <xf numFmtId="0" fontId="0" fillId="4" borderId="0" xfId="0" applyFill="1"/>
    <xf numFmtId="9" fontId="0" fillId="0" borderId="0" xfId="2" applyFont="1"/>
    <xf numFmtId="0" fontId="0" fillId="2" borderId="0" xfId="0" applyFill="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182">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13" formatCode="0%"/>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164" formatCode="_(* #,##0_);_(* \(#,##0\);_(* &quot;-&quot;??_);_(@_)"/>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64" formatCode="_(* #,##0_);_(* \(#,##0\);_(* &quot;-&quot;??_);_(@_)"/>
    </dxf>
    <dxf>
      <numFmt numFmtId="164" formatCode="_(* #,##0_);_(* \(#,##0\);_(* &quot;-&quot;??_);_(@_)"/>
    </dxf>
    <dxf>
      <font>
        <color theme="0"/>
      </font>
      <fill>
        <patternFill>
          <bgColor rgb="FF1B2A49"/>
        </patternFill>
      </fill>
    </dxf>
    <dxf>
      <fill>
        <patternFill>
          <bgColor rgb="FF002060"/>
        </patternFill>
      </fill>
    </dxf>
  </dxfs>
  <tableStyles count="6" defaultTableStyle="TableStyleMedium2" defaultPivotStyle="PivotStyleLight16">
    <tableStyle name="Invisible" pivot="0" table="0" count="0" xr9:uid="{AA73528B-8D85-432A-9172-AA70B5E8C669}"/>
    <tableStyle name="Slicer Style 1" pivot="0" table="0" count="1" xr9:uid="{C7A150BD-07BD-4BA7-9092-02D8011CE059}">
      <tableStyleElement type="wholeTable" dxfId="181"/>
    </tableStyle>
    <tableStyle name="Slicer Style 2" pivot="0" table="0" count="1" xr9:uid="{05E525C1-8361-4EE3-A006-10BF66FA523F}"/>
    <tableStyle name="Slicer Style 3" pivot="0" table="0" count="0" xr9:uid="{C5B07BD9-F1F5-438D-93ED-D0BBC1E8B33B}"/>
    <tableStyle name="Slicer Style 4" pivot="0" table="0" count="1" xr9:uid="{547934CE-13C2-4983-8180-DF234DD98C09}"/>
    <tableStyle name="Slicer Style 5" pivot="0" table="0" count="6" xr9:uid="{DD7656E5-D6E7-4E7A-BC37-D8D67A7D6D06}">
      <tableStyleElement type="wholeTable" dxfId="180"/>
    </tableStyle>
  </tableStyles>
  <colors>
    <mruColors>
      <color rgb="FFA60311"/>
      <color rgb="FFC8102E"/>
      <color rgb="FFF2F2F2"/>
      <color rgb="FF2A4060"/>
      <color rgb="FF1A2E45"/>
      <color rgb="FF1B2A49"/>
      <color rgb="FFFF4D4D"/>
      <color rgb="FFD59797"/>
      <color rgb="FF73020C"/>
      <color rgb="FF1D3159"/>
    </mruColors>
  </colors>
  <extLst>
    <ext xmlns:x14="http://schemas.microsoft.com/office/spreadsheetml/2009/9/main" uri="{46F421CA-312F-682f-3DD2-61675219B42D}">
      <x14:dxfs count="7">
        <dxf>
          <fill>
            <patternFill>
              <bgColor rgb="FFC8102E"/>
            </patternFill>
          </fill>
        </dxf>
        <dxf>
          <fill>
            <patternFill>
              <bgColor rgb="FF2A4060"/>
            </patternFill>
          </fill>
        </dxf>
        <dxf>
          <fill>
            <patternFill>
              <bgColor rgb="FFC8102E"/>
            </patternFill>
          </fill>
        </dxf>
        <dxf>
          <fill>
            <patternFill>
              <bgColor rgb="FFC8102E"/>
            </patternFill>
          </fill>
        </dxf>
        <dxf>
          <fill>
            <patternFill>
              <bgColor rgb="FF1A2E45"/>
            </patternFill>
          </fill>
        </dxf>
        <dxf>
          <fill>
            <patternFill>
              <bgColor theme="4" tint="-0.499984740745262"/>
            </patternFill>
          </fill>
          <border diagonalUp="1" diagonalDown="1">
            <left/>
            <right/>
            <top/>
            <bottom/>
            <diagonal style="thin">
              <color auto="1"/>
            </diagonal>
            <vertical/>
            <horizontal/>
          </border>
        </dxf>
        <dxf>
          <fill>
            <patternFill>
              <bgColor rgb="FFFF0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6"/>
          </x14:slicerStyleElements>
        </x14:slicerStyle>
        <x14:slicerStyle name="Slicer Style 3"/>
        <x14:slicerStyle name="Slicer Style 4">
          <x14:slicerStyleElements>
            <x14:slicerStyleElement type="selectedItemWithData" dxfId="5"/>
          </x14:slicerStyleElements>
        </x14:slicerStyle>
        <x14:slicerStyle name="Slicer Style 5">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9349442468793"/>
          <c:y val="2.9061555915308034E-2"/>
          <c:w val="0.72607169277159322"/>
          <c:h val="0.90866364849169168"/>
        </c:manualLayout>
      </c:layout>
      <c:barChart>
        <c:barDir val="bar"/>
        <c:grouping val="clustered"/>
        <c:varyColors val="0"/>
        <c:ser>
          <c:idx val="0"/>
          <c:order val="0"/>
          <c:tx>
            <c:strRef>
              <c:f>'Pivot table'!$K$10</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table'!$J$11:$J$19</c:f>
              <c:strCache>
                <c:ptCount val="8"/>
                <c:pt idx="0">
                  <c:v>هومزمارت</c:v>
                </c:pt>
                <c:pt idx="1">
                  <c:v>شيك هومز</c:v>
                </c:pt>
                <c:pt idx="2">
                  <c:v>تاكى</c:v>
                </c:pt>
                <c:pt idx="3">
                  <c:v>اوسكار ريتن</c:v>
                </c:pt>
                <c:pt idx="4">
                  <c:v>فيسبوك</c:v>
                </c:pt>
                <c:pt idx="5">
                  <c:v>السويس</c:v>
                </c:pt>
                <c:pt idx="6">
                  <c:v>منزلى</c:v>
                </c:pt>
                <c:pt idx="7">
                  <c:v>كيمت</c:v>
                </c:pt>
              </c:strCache>
            </c:strRef>
          </c:cat>
          <c:val>
            <c:numRef>
              <c:f>'Pivot table'!$K$11:$K$19</c:f>
              <c:numCache>
                <c:formatCode>_(* #,##0_);_(* \(#,##0\);_(* "-"??_);_(@_)</c:formatCode>
                <c:ptCount val="8"/>
                <c:pt idx="0">
                  <c:v>781837</c:v>
                </c:pt>
                <c:pt idx="1">
                  <c:v>181562.5</c:v>
                </c:pt>
                <c:pt idx="2">
                  <c:v>70650</c:v>
                </c:pt>
                <c:pt idx="3">
                  <c:v>54511.91</c:v>
                </c:pt>
                <c:pt idx="4">
                  <c:v>27450</c:v>
                </c:pt>
                <c:pt idx="5">
                  <c:v>23144.905440000002</c:v>
                </c:pt>
                <c:pt idx="6">
                  <c:v>9655</c:v>
                </c:pt>
                <c:pt idx="7">
                  <c:v>7396</c:v>
                </c:pt>
              </c:numCache>
            </c:numRef>
          </c:val>
          <c:extLst>
            <c:ext xmlns:c16="http://schemas.microsoft.com/office/drawing/2014/chart" uri="{C3380CC4-5D6E-409C-BE32-E72D297353CC}">
              <c16:uniqueId val="{00000001-2FC1-410B-9339-CDBEFC3F4358}"/>
            </c:ext>
          </c:extLst>
        </c:ser>
        <c:dLbls>
          <c:dLblPos val="outEnd"/>
          <c:showLegendKey val="0"/>
          <c:showVal val="1"/>
          <c:showCatName val="0"/>
          <c:showSerName val="0"/>
          <c:showPercent val="0"/>
          <c:showBubbleSize val="0"/>
        </c:dLbls>
        <c:gapWidth val="182"/>
        <c:axId val="499049359"/>
        <c:axId val="530133823"/>
      </c:barChart>
      <c:catAx>
        <c:axId val="49904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30133823"/>
        <c:crosses val="autoZero"/>
        <c:auto val="1"/>
        <c:lblAlgn val="ctr"/>
        <c:lblOffset val="100"/>
        <c:noMultiLvlLbl val="0"/>
      </c:catAx>
      <c:valAx>
        <c:axId val="530133823"/>
        <c:scaling>
          <c:orientation val="minMax"/>
        </c:scaling>
        <c:delete val="1"/>
        <c:axPos val="b"/>
        <c:numFmt formatCode="_(* #,##0_);_(* \(#,##0\);_(* &quot;-&quot;??_);_(@_)" sourceLinked="1"/>
        <c:majorTickMark val="none"/>
        <c:minorTickMark val="none"/>
        <c:tickLblPos val="nextTo"/>
        <c:crossAx val="49904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glow rad="63500">
              <a:srgbClr val="F2F2F2">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0311"/>
          </a:solidFill>
          <a:ln w="19050">
            <a:noFill/>
          </a:ln>
          <a:effectLst>
            <a:glow rad="63500">
              <a:srgbClr val="F2F2F2">
                <a:alpha val="40000"/>
              </a:srgbClr>
            </a:glow>
          </a:effectLst>
        </c:spPr>
        <c:dLbl>
          <c:idx val="0"/>
          <c:layout>
            <c:manualLayout>
              <c:x val="0.25267310095018725"/>
              <c:y val="-4.151032739174861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9050">
            <a:noFill/>
          </a:ln>
          <a:effectLst>
            <a:glow rad="63500">
              <a:srgbClr val="F2F2F2">
                <a:alpha val="40000"/>
              </a:srgbClr>
            </a:glow>
          </a:effectLst>
        </c:spPr>
        <c:dLbl>
          <c:idx val="0"/>
          <c:layout>
            <c:manualLayout>
              <c:x val="-8.8518741656920766E-2"/>
              <c:y val="0.134005488373896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59797"/>
          </a:solidFill>
          <a:ln w="19050">
            <a:noFill/>
          </a:ln>
          <a:effectLst/>
        </c:spPr>
        <c:dLbl>
          <c:idx val="0"/>
          <c:layout>
            <c:manualLayout>
              <c:x val="-5.8579106416867435E-2"/>
              <c:y val="6.4524745754582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1E1"/>
          </a:solidFill>
          <a:ln w="19050">
            <a:noFill/>
          </a:ln>
          <a:effectLst/>
        </c:spPr>
      </c:pivotFmt>
      <c:pivotFmt>
        <c:idx val="12"/>
        <c:spPr>
          <a:solidFill>
            <a:srgbClr val="73020C"/>
          </a:solidFill>
          <a:ln w="19050">
            <a:noFill/>
          </a:ln>
          <a:effectLst/>
        </c:spPr>
      </c:pivotFmt>
    </c:pivotFmts>
    <c:plotArea>
      <c:layout>
        <c:manualLayout>
          <c:layoutTarget val="inner"/>
          <c:xMode val="edge"/>
          <c:yMode val="edge"/>
          <c:x val="0.15366621559017873"/>
          <c:y val="3.1971803407088308E-2"/>
          <c:w val="0.36839932783988238"/>
          <c:h val="0.89477472987165563"/>
        </c:manualLayout>
      </c:layout>
      <c:pieChart>
        <c:varyColors val="1"/>
        <c:ser>
          <c:idx val="0"/>
          <c:order val="0"/>
          <c:tx>
            <c:strRef>
              <c:f>'Pivot table'!$N$10</c:f>
              <c:strCache>
                <c:ptCount val="1"/>
                <c:pt idx="0">
                  <c:v>Total</c:v>
                </c:pt>
              </c:strCache>
            </c:strRef>
          </c:tx>
          <c:spPr>
            <a:effectLst>
              <a:glow rad="63500">
                <a:srgbClr val="F2F2F2">
                  <a:alpha val="40000"/>
                </a:srgbClr>
              </a:glow>
            </a:effectLst>
          </c:spPr>
          <c:dPt>
            <c:idx val="0"/>
            <c:bubble3D val="0"/>
            <c:spPr>
              <a:solidFill>
                <a:srgbClr val="A60311"/>
              </a:solidFill>
              <a:ln w="19050">
                <a:noFill/>
              </a:ln>
              <a:effectLst>
                <a:glow rad="63500">
                  <a:srgbClr val="F2F2F2">
                    <a:alpha val="40000"/>
                  </a:srgbClr>
                </a:glow>
              </a:effectLst>
            </c:spPr>
            <c:extLst>
              <c:ext xmlns:c16="http://schemas.microsoft.com/office/drawing/2014/chart" uri="{C3380CC4-5D6E-409C-BE32-E72D297353CC}">
                <c16:uniqueId val="{00000001-A86F-4D61-95CD-34155176B260}"/>
              </c:ext>
            </c:extLst>
          </c:dPt>
          <c:dPt>
            <c:idx val="1"/>
            <c:bubble3D val="0"/>
            <c:spPr>
              <a:solidFill>
                <a:schemeClr val="bg2">
                  <a:lumMod val="75000"/>
                </a:schemeClr>
              </a:solidFill>
              <a:ln w="19050">
                <a:noFill/>
              </a:ln>
              <a:effectLst>
                <a:glow rad="63500">
                  <a:srgbClr val="F2F2F2">
                    <a:alpha val="40000"/>
                  </a:srgbClr>
                </a:glow>
              </a:effectLst>
            </c:spPr>
            <c:extLst>
              <c:ext xmlns:c16="http://schemas.microsoft.com/office/drawing/2014/chart" uri="{C3380CC4-5D6E-409C-BE32-E72D297353CC}">
                <c16:uniqueId val="{00000003-A86F-4D61-95CD-34155176B260}"/>
              </c:ext>
            </c:extLst>
          </c:dPt>
          <c:dPt>
            <c:idx val="2"/>
            <c:bubble3D val="0"/>
            <c:spPr>
              <a:solidFill>
                <a:srgbClr val="D59797"/>
              </a:solidFill>
              <a:ln w="19050">
                <a:noFill/>
              </a:ln>
              <a:effectLst/>
            </c:spPr>
            <c:extLst>
              <c:ext xmlns:c16="http://schemas.microsoft.com/office/drawing/2014/chart" uri="{C3380CC4-5D6E-409C-BE32-E72D297353CC}">
                <c16:uniqueId val="{00000005-A86F-4D61-95CD-34155176B260}"/>
              </c:ext>
            </c:extLst>
          </c:dPt>
          <c:dPt>
            <c:idx val="3"/>
            <c:bubble3D val="0"/>
            <c:spPr>
              <a:solidFill>
                <a:srgbClr val="FFE1E1"/>
              </a:solidFill>
              <a:ln w="19050">
                <a:noFill/>
              </a:ln>
              <a:effectLst/>
            </c:spPr>
            <c:extLst>
              <c:ext xmlns:c16="http://schemas.microsoft.com/office/drawing/2014/chart" uri="{C3380CC4-5D6E-409C-BE32-E72D297353CC}">
                <c16:uniqueId val="{00000007-A86F-4D61-95CD-34155176B260}"/>
              </c:ext>
            </c:extLst>
          </c:dPt>
          <c:dPt>
            <c:idx val="4"/>
            <c:bubble3D val="0"/>
            <c:spPr>
              <a:solidFill>
                <a:srgbClr val="73020C"/>
              </a:solidFill>
              <a:ln w="19050">
                <a:noFill/>
              </a:ln>
              <a:effectLst/>
            </c:spPr>
            <c:extLst>
              <c:ext xmlns:c16="http://schemas.microsoft.com/office/drawing/2014/chart" uri="{C3380CC4-5D6E-409C-BE32-E72D297353CC}">
                <c16:uniqueId val="{00000009-A86F-4D61-95CD-34155176B260}"/>
              </c:ext>
            </c:extLst>
          </c:dPt>
          <c:dLbls>
            <c:dLbl>
              <c:idx val="0"/>
              <c:layout>
                <c:manualLayout>
                  <c:x val="0.25267310095018725"/>
                  <c:y val="-4.15103273917486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6F-4D61-95CD-34155176B260}"/>
                </c:ext>
              </c:extLst>
            </c:dLbl>
            <c:dLbl>
              <c:idx val="1"/>
              <c:layout>
                <c:manualLayout>
                  <c:x val="-8.8518741656920766E-2"/>
                  <c:y val="0.134005488373896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6F-4D61-95CD-34155176B260}"/>
                </c:ext>
              </c:extLst>
            </c:dLbl>
            <c:dLbl>
              <c:idx val="2"/>
              <c:layout>
                <c:manualLayout>
                  <c:x val="-5.8579106416867435E-2"/>
                  <c:y val="6.4524745754582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6F-4D61-95CD-34155176B26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table'!$M$11:$M$16</c:f>
              <c:strCache>
                <c:ptCount val="5"/>
                <c:pt idx="0">
                  <c:v>سرير</c:v>
                </c:pt>
                <c:pt idx="1">
                  <c:v>كنبة</c:v>
                </c:pt>
                <c:pt idx="2">
                  <c:v>ترابيزه</c:v>
                </c:pt>
                <c:pt idx="3">
                  <c:v>كرسي</c:v>
                </c:pt>
                <c:pt idx="4">
                  <c:v>ركنة</c:v>
                </c:pt>
              </c:strCache>
            </c:strRef>
          </c:cat>
          <c:val>
            <c:numRef>
              <c:f>'Pivot table'!$N$11:$N$16</c:f>
              <c:numCache>
                <c:formatCode>0%</c:formatCode>
                <c:ptCount val="5"/>
                <c:pt idx="0">
                  <c:v>0.68292682926829273</c:v>
                </c:pt>
                <c:pt idx="1">
                  <c:v>0.15447154471544716</c:v>
                </c:pt>
                <c:pt idx="2">
                  <c:v>0.13821138211382114</c:v>
                </c:pt>
                <c:pt idx="3">
                  <c:v>1.6260162601626018E-2</c:v>
                </c:pt>
                <c:pt idx="4">
                  <c:v>8.130081300813009E-3</c:v>
                </c:pt>
              </c:numCache>
            </c:numRef>
          </c:val>
          <c:extLst>
            <c:ext xmlns:c16="http://schemas.microsoft.com/office/drawing/2014/chart" uri="{C3380CC4-5D6E-409C-BE32-E72D297353CC}">
              <c16:uniqueId val="{0000000A-A86F-4D61-95CD-34155176B2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ln>
                  <a:noFill/>
                </a:ln>
                <a:solidFill>
                  <a:schemeClr val="bg1"/>
                </a:solidFill>
                <a:latin typeface="+mn-lt"/>
                <a:ea typeface="+mn-ea"/>
                <a:cs typeface="+mn-cs"/>
              </a:defRPr>
            </a:pPr>
            <a:endParaRPr lang="en-US"/>
          </a:p>
        </c:txPr>
      </c:legendEntry>
      <c:layout>
        <c:manualLayout>
          <c:xMode val="edge"/>
          <c:yMode val="edge"/>
          <c:x val="0.7296998854118677"/>
          <c:y val="0"/>
          <c:w val="0.27030011458813241"/>
          <c:h val="1"/>
        </c:manualLayout>
      </c:layout>
      <c:overlay val="0"/>
      <c:spPr>
        <a:noFill/>
        <a:ln>
          <a:noFill/>
        </a:ln>
        <a:effectLst/>
      </c:spPr>
      <c:txPr>
        <a:bodyPr rot="0" spcFirstLastPara="1" vertOverflow="ellipsis" vert="horz" wrap="square" anchor="ctr" anchorCtr="1"/>
        <a:lstStyle/>
        <a:p>
          <a:pPr>
            <a:defRPr sz="18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21D2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w="19050">
            <a:noFill/>
          </a:ln>
          <a:effectLst/>
        </c:spPr>
        <c:dLbl>
          <c:idx val="0"/>
          <c:layout>
            <c:manualLayout>
              <c:x val="8.1489676699209063E-2"/>
              <c:y val="3.40049762400267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w="19050">
            <a:noFill/>
          </a:ln>
          <a:effectLst/>
        </c:spPr>
        <c:dLbl>
          <c:idx val="0"/>
          <c:layout>
            <c:manualLayout>
              <c:x val="-0.128502951717983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1D2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0311"/>
          </a:solidFill>
          <a:ln w="19050">
            <a:noFill/>
          </a:ln>
          <a:effectLst/>
        </c:spPr>
        <c:dLbl>
          <c:idx val="0"/>
          <c:layout>
            <c:manualLayout>
              <c:x val="8.1489676699209063E-2"/>
              <c:y val="3.40049762400267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w="19050">
            <a:noFill/>
          </a:ln>
          <a:effectLst/>
        </c:spPr>
        <c:dLbl>
          <c:idx val="0"/>
          <c:layout>
            <c:manualLayout>
              <c:x val="-0.128502951717983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1D2F"/>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60311"/>
          </a:solidFill>
          <a:ln w="19050">
            <a:noFill/>
          </a:ln>
          <a:effectLst>
            <a:glow rad="63500">
              <a:schemeClr val="bg1">
                <a:lumMod val="95000"/>
                <a:alpha val="40000"/>
              </a:schemeClr>
            </a:glow>
            <a:outerShdw blurRad="50800" dist="38100" dir="5400000" algn="t" rotWithShape="0">
              <a:prstClr val="black">
                <a:alpha val="40000"/>
              </a:prstClr>
            </a:outerShdw>
          </a:effectLst>
        </c:spPr>
        <c:dLbl>
          <c:idx val="0"/>
          <c:layout>
            <c:manualLayout>
              <c:x val="0.16537090281771133"/>
              <c:y val="7.7218159163182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w="19050">
            <a:noFill/>
          </a:ln>
          <a:effectLst>
            <a:glow rad="63500">
              <a:srgbClr val="F2F2F2">
                <a:alpha val="40000"/>
              </a:srgbClr>
            </a:glow>
            <a:outerShdw blurRad="50800" dist="38100" dir="5400000" algn="t" rotWithShape="0">
              <a:prstClr val="black">
                <a:alpha val="40000"/>
              </a:prstClr>
            </a:outerShdw>
          </a:effectLst>
        </c:spPr>
        <c:dLbl>
          <c:idx val="0"/>
          <c:layout>
            <c:manualLayout>
              <c:x val="-0.128502951717983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2636633107869"/>
          <c:y val="7.7506608133964233E-2"/>
          <c:w val="0.36333408381111076"/>
          <c:h val="0.84881911468232785"/>
        </c:manualLayout>
      </c:layout>
      <c:doughnutChart>
        <c:varyColors val="1"/>
        <c:ser>
          <c:idx val="0"/>
          <c:order val="0"/>
          <c:tx>
            <c:strRef>
              <c:f>'Pivot table'!$W$10</c:f>
              <c:strCache>
                <c:ptCount val="1"/>
                <c:pt idx="0">
                  <c:v>Total</c:v>
                </c:pt>
              </c:strCache>
            </c:strRef>
          </c:tx>
          <c:spPr>
            <a:solidFill>
              <a:srgbClr val="F21D2F"/>
            </a:solidFill>
            <a:ln>
              <a:noFill/>
            </a:ln>
            <a:effectLst>
              <a:outerShdw blurRad="50800" dist="38100" dir="5400000" algn="t" rotWithShape="0">
                <a:prstClr val="black">
                  <a:alpha val="40000"/>
                </a:prstClr>
              </a:outerShdw>
            </a:effectLst>
          </c:spPr>
          <c:dPt>
            <c:idx val="0"/>
            <c:bubble3D val="0"/>
            <c:spPr>
              <a:solidFill>
                <a:srgbClr val="A60311"/>
              </a:solidFill>
              <a:ln w="19050">
                <a:noFill/>
              </a:ln>
              <a:effectLst>
                <a:glow rad="63500">
                  <a:schemeClr val="bg1">
                    <a:lumMod val="95000"/>
                    <a:alpha val="40000"/>
                  </a:schemeClr>
                </a:glow>
                <a:outerShdw blurRad="50800" dist="38100" dir="5400000" algn="t" rotWithShape="0">
                  <a:prstClr val="black">
                    <a:alpha val="40000"/>
                  </a:prstClr>
                </a:outerShdw>
              </a:effectLst>
            </c:spPr>
            <c:extLst>
              <c:ext xmlns:c16="http://schemas.microsoft.com/office/drawing/2014/chart" uri="{C3380CC4-5D6E-409C-BE32-E72D297353CC}">
                <c16:uniqueId val="{00000001-BBEA-4B7F-B8D1-90EB14D01143}"/>
              </c:ext>
            </c:extLst>
          </c:dPt>
          <c:dPt>
            <c:idx val="1"/>
            <c:bubble3D val="0"/>
            <c:spPr>
              <a:solidFill>
                <a:schemeClr val="bg1">
                  <a:lumMod val="75000"/>
                </a:schemeClr>
              </a:solidFill>
              <a:ln w="19050">
                <a:noFill/>
              </a:ln>
              <a:effectLst>
                <a:glow rad="63500">
                  <a:srgbClr val="F2F2F2">
                    <a:alpha val="40000"/>
                  </a:srgbClr>
                </a:glow>
                <a:outerShdw blurRad="50800" dist="38100" dir="5400000" algn="t" rotWithShape="0">
                  <a:prstClr val="black">
                    <a:alpha val="40000"/>
                  </a:prstClr>
                </a:outerShdw>
              </a:effectLst>
            </c:spPr>
            <c:extLst>
              <c:ext xmlns:c16="http://schemas.microsoft.com/office/drawing/2014/chart" uri="{C3380CC4-5D6E-409C-BE32-E72D297353CC}">
                <c16:uniqueId val="{00000003-BBEA-4B7F-B8D1-90EB14D01143}"/>
              </c:ext>
            </c:extLst>
          </c:dPt>
          <c:dLbls>
            <c:dLbl>
              <c:idx val="0"/>
              <c:layout>
                <c:manualLayout>
                  <c:x val="0.16537090281771133"/>
                  <c:y val="7.7218159163182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EA-4B7F-B8D1-90EB14D01143}"/>
                </c:ext>
              </c:extLst>
            </c:dLbl>
            <c:dLbl>
              <c:idx val="1"/>
              <c:layout>
                <c:manualLayout>
                  <c:x val="-0.1285029517179835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EA-4B7F-B8D1-90EB14D011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table'!$V$11:$V$13</c:f>
              <c:strCache>
                <c:ptCount val="2"/>
                <c:pt idx="0">
                  <c:v>تم التسليم</c:v>
                </c:pt>
                <c:pt idx="1">
                  <c:v>مرفوض</c:v>
                </c:pt>
              </c:strCache>
            </c:strRef>
          </c:cat>
          <c:val>
            <c:numRef>
              <c:f>'Pivot table'!$W$11:$W$13</c:f>
              <c:numCache>
                <c:formatCode>0%</c:formatCode>
                <c:ptCount val="2"/>
                <c:pt idx="0">
                  <c:v>0.8</c:v>
                </c:pt>
                <c:pt idx="1">
                  <c:v>0.2</c:v>
                </c:pt>
              </c:numCache>
            </c:numRef>
          </c:val>
          <c:extLst>
            <c:ext xmlns:c16="http://schemas.microsoft.com/office/drawing/2014/chart" uri="{C3380CC4-5D6E-409C-BE32-E72D297353CC}">
              <c16:uniqueId val="{00000004-BBEA-4B7F-B8D1-90EB14D0114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6724417616614617"/>
          <c:y val="3.9086801867063904E-2"/>
          <c:w val="0.29660297360227839"/>
          <c:h val="0.8860904555578769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table'!$Q$10</c:f>
              <c:strCache>
                <c:ptCount val="1"/>
                <c:pt idx="0">
                  <c:v>Total</c:v>
                </c:pt>
              </c:strCache>
            </c:strRef>
          </c:tx>
          <c:spPr>
            <a:solidFill>
              <a:srgbClr val="A60311"/>
            </a:solidFill>
            <a:ln>
              <a:noFill/>
            </a:ln>
            <a:effectLst>
              <a:softEdge rad="0"/>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table'!$P$11:$P$20</c:f>
              <c:strCache>
                <c:ptCount val="9"/>
                <c:pt idx="0">
                  <c:v>ابيض</c:v>
                </c:pt>
                <c:pt idx="1">
                  <c:v>اسود</c:v>
                </c:pt>
                <c:pt idx="2">
                  <c:v>بترولى</c:v>
                </c:pt>
                <c:pt idx="3">
                  <c:v>بنى غامق</c:v>
                </c:pt>
                <c:pt idx="4">
                  <c:v>بيج</c:v>
                </c:pt>
                <c:pt idx="5">
                  <c:v>رمادى</c:v>
                </c:pt>
                <c:pt idx="6">
                  <c:v>غير محدد</c:v>
                </c:pt>
                <c:pt idx="7">
                  <c:v>ازرق</c:v>
                </c:pt>
                <c:pt idx="8">
                  <c:v>نبيتى</c:v>
                </c:pt>
              </c:strCache>
            </c:strRef>
          </c:cat>
          <c:val>
            <c:numRef>
              <c:f>'Pivot table'!$Q$11:$Q$20</c:f>
              <c:numCache>
                <c:formatCode>General</c:formatCode>
                <c:ptCount val="9"/>
                <c:pt idx="0">
                  <c:v>16</c:v>
                </c:pt>
                <c:pt idx="1">
                  <c:v>12</c:v>
                </c:pt>
                <c:pt idx="2">
                  <c:v>3</c:v>
                </c:pt>
                <c:pt idx="3">
                  <c:v>3</c:v>
                </c:pt>
                <c:pt idx="4">
                  <c:v>3</c:v>
                </c:pt>
                <c:pt idx="5">
                  <c:v>8</c:v>
                </c:pt>
                <c:pt idx="6">
                  <c:v>57</c:v>
                </c:pt>
                <c:pt idx="7">
                  <c:v>2</c:v>
                </c:pt>
                <c:pt idx="8">
                  <c:v>2</c:v>
                </c:pt>
              </c:numCache>
            </c:numRef>
          </c:val>
          <c:extLst>
            <c:ext xmlns:c16="http://schemas.microsoft.com/office/drawing/2014/chart" uri="{C3380CC4-5D6E-409C-BE32-E72D297353CC}">
              <c16:uniqueId val="{00000000-8763-43CE-83F2-051F01962C2B}"/>
            </c:ext>
          </c:extLst>
        </c:ser>
        <c:dLbls>
          <c:dLblPos val="outEnd"/>
          <c:showLegendKey val="0"/>
          <c:showVal val="1"/>
          <c:showCatName val="0"/>
          <c:showSerName val="0"/>
          <c:showPercent val="0"/>
          <c:showBubbleSize val="0"/>
        </c:dLbls>
        <c:gapWidth val="219"/>
        <c:overlap val="-27"/>
        <c:axId val="561569711"/>
        <c:axId val="476439295"/>
      </c:barChart>
      <c:catAx>
        <c:axId val="56156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6439295"/>
        <c:crosses val="autoZero"/>
        <c:auto val="1"/>
        <c:lblAlgn val="ctr"/>
        <c:lblOffset val="100"/>
        <c:noMultiLvlLbl val="0"/>
      </c:catAx>
      <c:valAx>
        <c:axId val="476439295"/>
        <c:scaling>
          <c:orientation val="minMax"/>
        </c:scaling>
        <c:delete val="1"/>
        <c:axPos val="l"/>
        <c:numFmt formatCode="General" sourceLinked="1"/>
        <c:majorTickMark val="none"/>
        <c:minorTickMark val="none"/>
        <c:tickLblPos val="nextTo"/>
        <c:crossAx val="5615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60311"/>
          </a:solidFill>
          <a:ln w="19050">
            <a:noFill/>
          </a:ln>
          <a:effectLst>
            <a:glow rad="63500">
              <a:srgbClr val="F2F2F2">
                <a:alpha val="40000"/>
              </a:srgbClr>
            </a:glow>
          </a:effectLst>
        </c:spPr>
        <c:dLbl>
          <c:idx val="0"/>
          <c:layout>
            <c:manualLayout>
              <c:x val="0.16370278408981495"/>
              <c:y val="7.8873357742515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w="19050">
            <a:noFill/>
          </a:ln>
          <a:effectLst>
            <a:glow rad="63500">
              <a:srgbClr val="F2F2F2">
                <a:alpha val="40000"/>
              </a:srgbClr>
            </a:glow>
          </a:effectLst>
        </c:spPr>
        <c:dLbl>
          <c:idx val="0"/>
          <c:layout>
            <c:manualLayout>
              <c:x val="-0.23242906739805069"/>
              <c:y val="2.052852488682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6487199494668"/>
          <c:y val="0.10031666632412529"/>
          <c:w val="0.30787530189871065"/>
          <c:h val="0.81872473428011772"/>
        </c:manualLayout>
      </c:layout>
      <c:doughnutChart>
        <c:varyColors val="1"/>
        <c:ser>
          <c:idx val="0"/>
          <c:order val="0"/>
          <c:tx>
            <c:strRef>
              <c:f>'Pivot table'!$AC$10</c:f>
              <c:strCache>
                <c:ptCount val="1"/>
                <c:pt idx="0">
                  <c:v>Total</c:v>
                </c:pt>
              </c:strCache>
            </c:strRef>
          </c:tx>
          <c:dPt>
            <c:idx val="0"/>
            <c:bubble3D val="0"/>
            <c:spPr>
              <a:solidFill>
                <a:srgbClr val="A60311"/>
              </a:solidFill>
              <a:ln w="19050">
                <a:noFill/>
              </a:ln>
              <a:effectLst>
                <a:glow rad="63500">
                  <a:srgbClr val="F2F2F2">
                    <a:alpha val="40000"/>
                  </a:srgbClr>
                </a:glow>
              </a:effectLst>
            </c:spPr>
            <c:extLst>
              <c:ext xmlns:c16="http://schemas.microsoft.com/office/drawing/2014/chart" uri="{C3380CC4-5D6E-409C-BE32-E72D297353CC}">
                <c16:uniqueId val="{00000001-C842-4866-A66C-8E55F7DE6C9A}"/>
              </c:ext>
            </c:extLst>
          </c:dPt>
          <c:dPt>
            <c:idx val="1"/>
            <c:bubble3D val="0"/>
            <c:spPr>
              <a:solidFill>
                <a:schemeClr val="bg1">
                  <a:lumMod val="75000"/>
                </a:schemeClr>
              </a:solidFill>
              <a:ln w="19050">
                <a:noFill/>
              </a:ln>
              <a:effectLst>
                <a:glow rad="63500">
                  <a:srgbClr val="F2F2F2">
                    <a:alpha val="40000"/>
                  </a:srgbClr>
                </a:glow>
              </a:effectLst>
            </c:spPr>
            <c:extLst>
              <c:ext xmlns:c16="http://schemas.microsoft.com/office/drawing/2014/chart" uri="{C3380CC4-5D6E-409C-BE32-E72D297353CC}">
                <c16:uniqueId val="{00000003-C842-4866-A66C-8E55F7DE6C9A}"/>
              </c:ext>
            </c:extLst>
          </c:dPt>
          <c:dLbls>
            <c:dLbl>
              <c:idx val="0"/>
              <c:layout>
                <c:manualLayout>
                  <c:x val="0.16370278408981495"/>
                  <c:y val="7.8873357742515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42-4866-A66C-8E55F7DE6C9A}"/>
                </c:ext>
              </c:extLst>
            </c:dLbl>
            <c:dLbl>
              <c:idx val="1"/>
              <c:layout>
                <c:manualLayout>
                  <c:x val="-0.23242906739805069"/>
                  <c:y val="2.0528524886820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42-4866-A66C-8E55F7DE6C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table'!$AB$11:$AB$13</c:f>
              <c:strCache>
                <c:ptCount val="2"/>
                <c:pt idx="0">
                  <c:v>أفراد</c:v>
                </c:pt>
                <c:pt idx="1">
                  <c:v>شركات</c:v>
                </c:pt>
              </c:strCache>
            </c:strRef>
          </c:cat>
          <c:val>
            <c:numRef>
              <c:f>'Pivot table'!$AC$11:$AC$13</c:f>
              <c:numCache>
                <c:formatCode>0%</c:formatCode>
                <c:ptCount val="2"/>
                <c:pt idx="0">
                  <c:v>0.72972972972972971</c:v>
                </c:pt>
                <c:pt idx="1">
                  <c:v>0.27027027027027029</c:v>
                </c:pt>
              </c:numCache>
            </c:numRef>
          </c:val>
          <c:extLst>
            <c:ext xmlns:c16="http://schemas.microsoft.com/office/drawing/2014/chart" uri="{C3380CC4-5D6E-409C-BE32-E72D297353CC}">
              <c16:uniqueId val="{00000004-C842-4866-A66C-8E55F7DE6C9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5470703182712653"/>
          <c:y val="1.8307636694170758E-2"/>
          <c:w val="0.27266733548842564"/>
          <c:h val="0.93447544507259006"/>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Tomader Abd Elhamed (version 1).xlsb.xlsx]Pivot table!PivotTable12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0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16620299089363E-2"/>
          <c:y val="8.7040717030554507E-2"/>
          <c:w val="0.93898637456994016"/>
          <c:h val="0.68588450352694497"/>
        </c:manualLayout>
      </c:layout>
      <c:barChart>
        <c:barDir val="col"/>
        <c:grouping val="clustered"/>
        <c:varyColors val="0"/>
        <c:ser>
          <c:idx val="0"/>
          <c:order val="0"/>
          <c:tx>
            <c:strRef>
              <c:f>'Pivot table'!$Z$10</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table'!$Y$11:$Y$20</c:f>
              <c:strCache>
                <c:ptCount val="9"/>
                <c:pt idx="0">
                  <c:v>أسيوط</c:v>
                </c:pt>
                <c:pt idx="1">
                  <c:v>الإسكندرية</c:v>
                </c:pt>
                <c:pt idx="2">
                  <c:v>البحر الأحمر</c:v>
                </c:pt>
                <c:pt idx="3">
                  <c:v>الجيزة</c:v>
                </c:pt>
                <c:pt idx="4">
                  <c:v>السويس</c:v>
                </c:pt>
                <c:pt idx="5">
                  <c:v>القاهرة</c:v>
                </c:pt>
                <c:pt idx="6">
                  <c:v>القليوبية</c:v>
                </c:pt>
                <c:pt idx="7">
                  <c:v>غير معروف</c:v>
                </c:pt>
                <c:pt idx="8">
                  <c:v>مطروح</c:v>
                </c:pt>
              </c:strCache>
            </c:strRef>
          </c:cat>
          <c:val>
            <c:numRef>
              <c:f>'Pivot table'!$Z$11:$Z$20</c:f>
              <c:numCache>
                <c:formatCode>General</c:formatCode>
                <c:ptCount val="9"/>
                <c:pt idx="0">
                  <c:v>1</c:v>
                </c:pt>
                <c:pt idx="1">
                  <c:v>5</c:v>
                </c:pt>
                <c:pt idx="2">
                  <c:v>3</c:v>
                </c:pt>
                <c:pt idx="3">
                  <c:v>22</c:v>
                </c:pt>
                <c:pt idx="4">
                  <c:v>7</c:v>
                </c:pt>
                <c:pt idx="5">
                  <c:v>60</c:v>
                </c:pt>
                <c:pt idx="6">
                  <c:v>12</c:v>
                </c:pt>
                <c:pt idx="7">
                  <c:v>11</c:v>
                </c:pt>
                <c:pt idx="8">
                  <c:v>2</c:v>
                </c:pt>
              </c:numCache>
            </c:numRef>
          </c:val>
          <c:extLst>
            <c:ext xmlns:c16="http://schemas.microsoft.com/office/drawing/2014/chart" uri="{C3380CC4-5D6E-409C-BE32-E72D297353CC}">
              <c16:uniqueId val="{00000000-D93C-4C44-AE06-9AD4597361A1}"/>
            </c:ext>
          </c:extLst>
        </c:ser>
        <c:dLbls>
          <c:dLblPos val="outEnd"/>
          <c:showLegendKey val="0"/>
          <c:showVal val="1"/>
          <c:showCatName val="0"/>
          <c:showSerName val="0"/>
          <c:showPercent val="0"/>
          <c:showBubbleSize val="0"/>
        </c:dLbls>
        <c:gapWidth val="219"/>
        <c:overlap val="-27"/>
        <c:axId val="1360402335"/>
        <c:axId val="605479167"/>
      </c:barChart>
      <c:catAx>
        <c:axId val="136040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05479167"/>
        <c:crosses val="autoZero"/>
        <c:auto val="1"/>
        <c:lblAlgn val="ctr"/>
        <c:lblOffset val="100"/>
        <c:noMultiLvlLbl val="0"/>
      </c:catAx>
      <c:valAx>
        <c:axId val="605479167"/>
        <c:scaling>
          <c:orientation val="minMax"/>
        </c:scaling>
        <c:delete val="1"/>
        <c:axPos val="l"/>
        <c:numFmt formatCode="General" sourceLinked="1"/>
        <c:majorTickMark val="none"/>
        <c:minorTickMark val="none"/>
        <c:tickLblPos val="nextTo"/>
        <c:crossAx val="13604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2.jpe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hyperlink" Target="#'Source Data'!A1"/><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595923</xdr:colOff>
      <xdr:row>0</xdr:row>
      <xdr:rowOff>97693</xdr:rowOff>
    </xdr:from>
    <xdr:to>
      <xdr:col>29</xdr:col>
      <xdr:colOff>368300</xdr:colOff>
      <xdr:row>4</xdr:row>
      <xdr:rowOff>123265</xdr:rowOff>
    </xdr:to>
    <xdr:sp macro="" textlink="">
      <xdr:nvSpPr>
        <xdr:cNvPr id="2" name="Rectangle: Rounded Corners 1">
          <a:extLst>
            <a:ext uri="{FF2B5EF4-FFF2-40B4-BE49-F238E27FC236}">
              <a16:creationId xmlns:a16="http://schemas.microsoft.com/office/drawing/2014/main" id="{4D848067-8235-EE6E-67D4-963B92E4B929}"/>
            </a:ext>
          </a:extLst>
        </xdr:cNvPr>
        <xdr:cNvSpPr/>
      </xdr:nvSpPr>
      <xdr:spPr>
        <a:xfrm>
          <a:off x="3041411" y="97693"/>
          <a:ext cx="15056680" cy="769851"/>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175377</xdr:colOff>
      <xdr:row>0</xdr:row>
      <xdr:rowOff>0</xdr:rowOff>
    </xdr:from>
    <xdr:to>
      <xdr:col>4</xdr:col>
      <xdr:colOff>559979</xdr:colOff>
      <xdr:row>36</xdr:row>
      <xdr:rowOff>210258</xdr:rowOff>
    </xdr:to>
    <xdr:sp macro="" textlink="">
      <xdr:nvSpPr>
        <xdr:cNvPr id="3" name="Rectangle: Rounded Corners 2">
          <a:extLst>
            <a:ext uri="{FF2B5EF4-FFF2-40B4-BE49-F238E27FC236}">
              <a16:creationId xmlns:a16="http://schemas.microsoft.com/office/drawing/2014/main" id="{9E294488-AC70-3AAB-4FB7-E80E0853621B}"/>
            </a:ext>
          </a:extLst>
        </xdr:cNvPr>
        <xdr:cNvSpPr/>
      </xdr:nvSpPr>
      <xdr:spPr>
        <a:xfrm>
          <a:off x="175377" y="0"/>
          <a:ext cx="2679567" cy="8601223"/>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23</xdr:col>
      <xdr:colOff>315030</xdr:colOff>
      <xdr:row>4</xdr:row>
      <xdr:rowOff>150160</xdr:rowOff>
    </xdr:from>
    <xdr:to>
      <xdr:col>29</xdr:col>
      <xdr:colOff>422490</xdr:colOff>
      <xdr:row>12</xdr:row>
      <xdr:rowOff>99300</xdr:rowOff>
    </xdr:to>
    <xdr:sp macro="" textlink="">
      <xdr:nvSpPr>
        <xdr:cNvPr id="7" name="Rectangle: Rounded Corners 6">
          <a:extLst>
            <a:ext uri="{FF2B5EF4-FFF2-40B4-BE49-F238E27FC236}">
              <a16:creationId xmlns:a16="http://schemas.microsoft.com/office/drawing/2014/main" id="{F6FAB920-0212-4C61-B4EE-105BDE8B8399}"/>
            </a:ext>
          </a:extLst>
        </xdr:cNvPr>
        <xdr:cNvSpPr/>
      </xdr:nvSpPr>
      <xdr:spPr>
        <a:xfrm>
          <a:off x="13511077" y="1082489"/>
          <a:ext cx="3549907" cy="1813799"/>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601428</xdr:colOff>
      <xdr:row>4</xdr:row>
      <xdr:rowOff>168091</xdr:rowOff>
    </xdr:from>
    <xdr:to>
      <xdr:col>11</xdr:col>
      <xdr:colOff>29308</xdr:colOff>
      <xdr:row>12</xdr:row>
      <xdr:rowOff>78154</xdr:rowOff>
    </xdr:to>
    <xdr:sp macro="" textlink="">
      <xdr:nvSpPr>
        <xdr:cNvPr id="8" name="Rectangle: Rounded Corners 7">
          <a:extLst>
            <a:ext uri="{FF2B5EF4-FFF2-40B4-BE49-F238E27FC236}">
              <a16:creationId xmlns:a16="http://schemas.microsoft.com/office/drawing/2014/main" id="{4B3470A1-D77B-4290-B2AF-ABA2923A89F7}"/>
            </a:ext>
          </a:extLst>
        </xdr:cNvPr>
        <xdr:cNvSpPr/>
      </xdr:nvSpPr>
      <xdr:spPr>
        <a:xfrm>
          <a:off x="3046916" y="912370"/>
          <a:ext cx="3707485" cy="1398621"/>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11</xdr:col>
      <xdr:colOff>78154</xdr:colOff>
      <xdr:row>4</xdr:row>
      <xdr:rowOff>168090</xdr:rowOff>
    </xdr:from>
    <xdr:to>
      <xdr:col>17</xdr:col>
      <xdr:colOff>119361</xdr:colOff>
      <xdr:row>12</xdr:row>
      <xdr:rowOff>115266</xdr:rowOff>
    </xdr:to>
    <xdr:sp macro="" textlink="">
      <xdr:nvSpPr>
        <xdr:cNvPr id="9" name="Rectangle: Rounded Corners 8">
          <a:extLst>
            <a:ext uri="{FF2B5EF4-FFF2-40B4-BE49-F238E27FC236}">
              <a16:creationId xmlns:a16="http://schemas.microsoft.com/office/drawing/2014/main" id="{2E7E4F55-12D5-423D-85AE-7730272A393E}"/>
            </a:ext>
          </a:extLst>
        </xdr:cNvPr>
        <xdr:cNvSpPr/>
      </xdr:nvSpPr>
      <xdr:spPr>
        <a:xfrm>
          <a:off x="6803247" y="912369"/>
          <a:ext cx="3709440" cy="1435734"/>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17</xdr:col>
      <xdr:colOff>185616</xdr:colOff>
      <xdr:row>4</xdr:row>
      <xdr:rowOff>168090</xdr:rowOff>
    </xdr:from>
    <xdr:to>
      <xdr:col>23</xdr:col>
      <xdr:colOff>294141</xdr:colOff>
      <xdr:row>12</xdr:row>
      <xdr:rowOff>110836</xdr:rowOff>
    </xdr:to>
    <xdr:sp macro="" textlink="">
      <xdr:nvSpPr>
        <xdr:cNvPr id="10" name="Rectangle: Rounded Corners 9">
          <a:extLst>
            <a:ext uri="{FF2B5EF4-FFF2-40B4-BE49-F238E27FC236}">
              <a16:creationId xmlns:a16="http://schemas.microsoft.com/office/drawing/2014/main" id="{B3F77A73-8DFD-4E79-998D-D1FEF6592F80}"/>
            </a:ext>
          </a:extLst>
        </xdr:cNvPr>
        <xdr:cNvSpPr/>
      </xdr:nvSpPr>
      <xdr:spPr>
        <a:xfrm>
          <a:off x="10578942" y="912369"/>
          <a:ext cx="3776757" cy="1431304"/>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en-US"/>
        </a:p>
      </xdr:txBody>
    </xdr:sp>
    <xdr:clientData/>
  </xdr:twoCellAnchor>
  <xdr:twoCellAnchor>
    <xdr:from>
      <xdr:col>5</xdr:col>
      <xdr:colOff>2539</xdr:colOff>
      <xdr:row>12</xdr:row>
      <xdr:rowOff>175846</xdr:rowOff>
    </xdr:from>
    <xdr:to>
      <xdr:col>11</xdr:col>
      <xdr:colOff>332153</xdr:colOff>
      <xdr:row>23</xdr:row>
      <xdr:rowOff>166301</xdr:rowOff>
    </xdr:to>
    <xdr:sp macro="" textlink="">
      <xdr:nvSpPr>
        <xdr:cNvPr id="11" name="Rectangle: Rounded Corners 10">
          <a:extLst>
            <a:ext uri="{FF2B5EF4-FFF2-40B4-BE49-F238E27FC236}">
              <a16:creationId xmlns:a16="http://schemas.microsoft.com/office/drawing/2014/main" id="{35D44B59-532E-EC96-95F4-207471FA872D}"/>
            </a:ext>
          </a:extLst>
        </xdr:cNvPr>
        <xdr:cNvSpPr/>
      </xdr:nvSpPr>
      <xdr:spPr>
        <a:xfrm>
          <a:off x="3059399" y="2408683"/>
          <a:ext cx="3997847" cy="2037223"/>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566424</xdr:colOff>
      <xdr:row>24</xdr:row>
      <xdr:rowOff>26895</xdr:rowOff>
    </xdr:from>
    <xdr:to>
      <xdr:col>15</xdr:col>
      <xdr:colOff>511479</xdr:colOff>
      <xdr:row>36</xdr:row>
      <xdr:rowOff>190500</xdr:rowOff>
    </xdr:to>
    <xdr:sp macro="" textlink="">
      <xdr:nvSpPr>
        <xdr:cNvPr id="12" name="Rectangle: Rounded Corners 11">
          <a:extLst>
            <a:ext uri="{FF2B5EF4-FFF2-40B4-BE49-F238E27FC236}">
              <a16:creationId xmlns:a16="http://schemas.microsoft.com/office/drawing/2014/main" id="{443EEB18-A855-4E84-A413-C3E1CFCF17B4}"/>
            </a:ext>
          </a:extLst>
        </xdr:cNvPr>
        <xdr:cNvSpPr/>
      </xdr:nvSpPr>
      <xdr:spPr>
        <a:xfrm>
          <a:off x="3133161" y="5320790"/>
          <a:ext cx="7003581" cy="2810552"/>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15</xdr:col>
      <xdr:colOff>558641</xdr:colOff>
      <xdr:row>24</xdr:row>
      <xdr:rowOff>8182</xdr:rowOff>
    </xdr:from>
    <xdr:to>
      <xdr:col>24</xdr:col>
      <xdr:colOff>114822</xdr:colOff>
      <xdr:row>37</xdr:row>
      <xdr:rowOff>10026</xdr:rowOff>
    </xdr:to>
    <xdr:sp macro="" textlink="">
      <xdr:nvSpPr>
        <xdr:cNvPr id="14" name="Rectangle: Rounded Corners 13">
          <a:extLst>
            <a:ext uri="{FF2B5EF4-FFF2-40B4-BE49-F238E27FC236}">
              <a16:creationId xmlns:a16="http://schemas.microsoft.com/office/drawing/2014/main" id="{0CC55ED2-9A17-4F26-952F-35C5197C3711}"/>
            </a:ext>
          </a:extLst>
        </xdr:cNvPr>
        <xdr:cNvSpPr/>
      </xdr:nvSpPr>
      <xdr:spPr>
        <a:xfrm>
          <a:off x="10183904" y="5302077"/>
          <a:ext cx="5331339" cy="2869370"/>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24</xdr:col>
      <xdr:colOff>145551</xdr:colOff>
      <xdr:row>12</xdr:row>
      <xdr:rowOff>162394</xdr:rowOff>
    </xdr:from>
    <xdr:to>
      <xdr:col>29</xdr:col>
      <xdr:colOff>496276</xdr:colOff>
      <xdr:row>37</xdr:row>
      <xdr:rowOff>12492</xdr:rowOff>
    </xdr:to>
    <xdr:sp macro="" textlink="">
      <xdr:nvSpPr>
        <xdr:cNvPr id="15" name="Rectangle: Rounded Corners 14">
          <a:extLst>
            <a:ext uri="{FF2B5EF4-FFF2-40B4-BE49-F238E27FC236}">
              <a16:creationId xmlns:a16="http://schemas.microsoft.com/office/drawing/2014/main" id="{3CDB24C4-8133-4B59-BB14-1447D693E7D5}"/>
            </a:ext>
          </a:extLst>
        </xdr:cNvPr>
        <xdr:cNvSpPr/>
      </xdr:nvSpPr>
      <xdr:spPr>
        <a:xfrm>
          <a:off x="14818481" y="2395231"/>
          <a:ext cx="3407586" cy="4501842"/>
        </a:xfrm>
        <a:prstGeom prst="round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8</xdr:col>
      <xdr:colOff>229644</xdr:colOff>
      <xdr:row>0</xdr:row>
      <xdr:rowOff>156575</xdr:rowOff>
    </xdr:from>
    <xdr:to>
      <xdr:col>23</xdr:col>
      <xdr:colOff>469726</xdr:colOff>
      <xdr:row>4</xdr:row>
      <xdr:rowOff>52191</xdr:rowOff>
    </xdr:to>
    <xdr:sp macro="" textlink="">
      <xdr:nvSpPr>
        <xdr:cNvPr id="17" name="TextBox 16">
          <a:extLst>
            <a:ext uri="{FF2B5EF4-FFF2-40B4-BE49-F238E27FC236}">
              <a16:creationId xmlns:a16="http://schemas.microsoft.com/office/drawing/2014/main" id="{09A641EA-E1F1-51F8-99EA-25783D7B5F5A}"/>
            </a:ext>
          </a:extLst>
        </xdr:cNvPr>
        <xdr:cNvSpPr txBox="1"/>
      </xdr:nvSpPr>
      <xdr:spPr>
        <a:xfrm>
          <a:off x="5120621" y="156575"/>
          <a:ext cx="9410663" cy="639895"/>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rgbClr val="A60311"/>
              </a:solidFill>
            </a:rPr>
            <a:t>MISUO</a:t>
          </a:r>
          <a:r>
            <a:rPr lang="en-US" sz="4400" b="1" baseline="0">
              <a:solidFill>
                <a:schemeClr val="bg2"/>
              </a:solidFill>
            </a:rPr>
            <a:t> </a:t>
          </a:r>
          <a:r>
            <a:rPr lang="en-US" sz="4400" b="1">
              <a:solidFill>
                <a:schemeClr val="bg2"/>
              </a:solidFill>
            </a:rPr>
            <a:t>Sales&amp;Delivery</a:t>
          </a:r>
          <a:r>
            <a:rPr lang="en-US" sz="4400" b="1">
              <a:solidFill>
                <a:srgbClr val="A60311"/>
              </a:solidFill>
            </a:rPr>
            <a:t> Dashboard</a:t>
          </a:r>
        </a:p>
      </xdr:txBody>
    </xdr:sp>
    <xdr:clientData/>
  </xdr:twoCellAnchor>
  <xdr:twoCellAnchor>
    <xdr:from>
      <xdr:col>18</xdr:col>
      <xdr:colOff>226017</xdr:colOff>
      <xdr:row>24</xdr:row>
      <xdr:rowOff>23090</xdr:rowOff>
    </xdr:from>
    <xdr:to>
      <xdr:col>22</xdr:col>
      <xdr:colOff>374542</xdr:colOff>
      <xdr:row>26</xdr:row>
      <xdr:rowOff>7697</xdr:rowOff>
    </xdr:to>
    <xdr:sp macro="" textlink="">
      <xdr:nvSpPr>
        <xdr:cNvPr id="19" name="TextBox 18">
          <a:extLst>
            <a:ext uri="{FF2B5EF4-FFF2-40B4-BE49-F238E27FC236}">
              <a16:creationId xmlns:a16="http://schemas.microsoft.com/office/drawing/2014/main" id="{1E8D43E4-D99C-9AD4-D186-9B7BDFEFD346}"/>
            </a:ext>
          </a:extLst>
        </xdr:cNvPr>
        <xdr:cNvSpPr txBox="1"/>
      </xdr:nvSpPr>
      <xdr:spPr>
        <a:xfrm>
          <a:off x="11230715" y="4488764"/>
          <a:ext cx="2594013" cy="356747"/>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a:solidFill>
                <a:schemeClr val="bg2">
                  <a:lumMod val="90000"/>
                </a:schemeClr>
              </a:solidFill>
            </a:rPr>
            <a:t>Orders By Area</a:t>
          </a:r>
        </a:p>
      </xdr:txBody>
    </xdr:sp>
    <xdr:clientData/>
  </xdr:twoCellAnchor>
  <xdr:twoCellAnchor>
    <xdr:from>
      <xdr:col>5</xdr:col>
      <xdr:colOff>259773</xdr:colOff>
      <xdr:row>5</xdr:row>
      <xdr:rowOff>84667</xdr:rowOff>
    </xdr:from>
    <xdr:to>
      <xdr:col>10</xdr:col>
      <xdr:colOff>398318</xdr:colOff>
      <xdr:row>8</xdr:row>
      <xdr:rowOff>24190</xdr:rowOff>
    </xdr:to>
    <xdr:sp macro="" textlink="">
      <xdr:nvSpPr>
        <xdr:cNvPr id="20" name="TextBox 19">
          <a:extLst>
            <a:ext uri="{FF2B5EF4-FFF2-40B4-BE49-F238E27FC236}">
              <a16:creationId xmlns:a16="http://schemas.microsoft.com/office/drawing/2014/main" id="{117F18E7-8081-9B5E-6454-2DB45CCED330}"/>
            </a:ext>
          </a:extLst>
        </xdr:cNvPr>
        <xdr:cNvSpPr txBox="1"/>
      </xdr:nvSpPr>
      <xdr:spPr>
        <a:xfrm>
          <a:off x="3316633" y="1015016"/>
          <a:ext cx="3195406" cy="497732"/>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2800">
              <a:solidFill>
                <a:schemeClr val="bg2">
                  <a:lumMod val="90000"/>
                </a:schemeClr>
              </a:solidFill>
            </a:rPr>
            <a:t>      </a:t>
          </a:r>
          <a:r>
            <a:rPr lang="en-US" sz="3200">
              <a:solidFill>
                <a:schemeClr val="bg2">
                  <a:lumMod val="90000"/>
                </a:schemeClr>
              </a:solidFill>
            </a:rPr>
            <a:t>Total Sales</a:t>
          </a:r>
          <a:endParaRPr lang="en-US" sz="2800">
            <a:solidFill>
              <a:schemeClr val="bg2">
                <a:lumMod val="90000"/>
              </a:schemeClr>
            </a:solidFill>
          </a:endParaRPr>
        </a:p>
      </xdr:txBody>
    </xdr:sp>
    <xdr:clientData/>
  </xdr:twoCellAnchor>
  <xdr:twoCellAnchor>
    <xdr:from>
      <xdr:col>24</xdr:col>
      <xdr:colOff>194750</xdr:colOff>
      <xdr:row>4</xdr:row>
      <xdr:rowOff>166621</xdr:rowOff>
    </xdr:from>
    <xdr:to>
      <xdr:col>29</xdr:col>
      <xdr:colOff>285031</xdr:colOff>
      <xdr:row>9</xdr:row>
      <xdr:rowOff>44001</xdr:rowOff>
    </xdr:to>
    <xdr:sp macro="" textlink="">
      <xdr:nvSpPr>
        <xdr:cNvPr id="4097" name="Text Box 1">
          <a:extLst>
            <a:ext uri="{FF2B5EF4-FFF2-40B4-BE49-F238E27FC236}">
              <a16:creationId xmlns:a16="http://schemas.microsoft.com/office/drawing/2014/main" id="{397CB5BD-481A-EBE1-EAAC-1939CC6EF3FB}"/>
            </a:ext>
          </a:extLst>
        </xdr:cNvPr>
        <xdr:cNvSpPr txBox="1">
          <a:spLocks noChangeArrowheads="1"/>
        </xdr:cNvSpPr>
      </xdr:nvSpPr>
      <xdr:spPr bwMode="auto">
        <a:xfrm>
          <a:off x="13964538" y="1098950"/>
          <a:ext cx="2958987" cy="1042792"/>
        </a:xfrm>
        <a:prstGeom prst="rect">
          <a:avLst/>
        </a:prstGeom>
        <a:solidFill>
          <a:srgbClr val="1B2A49"/>
        </a:solidFill>
        <a:ln w="9525">
          <a:noFill/>
          <a:miter lim="800000"/>
          <a:headEnd/>
          <a:tailEnd/>
        </a:ln>
      </xdr:spPr>
      <xdr:txBody>
        <a:bodyPr vertOverflow="clip" wrap="square" lIns="27432" tIns="27432" rIns="0" bIns="0" anchor="ctr" upright="1"/>
        <a:lstStyle/>
        <a:p>
          <a:pPr algn="ctr" rtl="0">
            <a:defRPr sz="1000"/>
          </a:pPr>
          <a:r>
            <a:rPr lang="en-US" sz="2400" b="0" i="0" u="none" strike="noStrike" baseline="0">
              <a:solidFill>
                <a:schemeClr val="bg2">
                  <a:lumMod val="90000"/>
                </a:schemeClr>
              </a:solidFill>
              <a:latin typeface="+mn-lt"/>
              <a:cs typeface="Calibri"/>
            </a:rPr>
            <a:t>  On-Time Delivery Rate</a:t>
          </a:r>
        </a:p>
      </xdr:txBody>
    </xdr:sp>
    <xdr:clientData/>
  </xdr:twoCellAnchor>
  <xdr:twoCellAnchor>
    <xdr:from>
      <xdr:col>25</xdr:col>
      <xdr:colOff>239233</xdr:colOff>
      <xdr:row>14</xdr:row>
      <xdr:rowOff>0</xdr:rowOff>
    </xdr:from>
    <xdr:to>
      <xdr:col>29</xdr:col>
      <xdr:colOff>26580</xdr:colOff>
      <xdr:row>17</xdr:row>
      <xdr:rowOff>115186</xdr:rowOff>
    </xdr:to>
    <xdr:sp macro="" textlink="">
      <xdr:nvSpPr>
        <xdr:cNvPr id="22" name="TextBox 21">
          <a:extLst>
            <a:ext uri="{FF2B5EF4-FFF2-40B4-BE49-F238E27FC236}">
              <a16:creationId xmlns:a16="http://schemas.microsoft.com/office/drawing/2014/main" id="{D1F4603F-2C30-E948-DFA9-0C620BB5C745}"/>
            </a:ext>
          </a:extLst>
        </xdr:cNvPr>
        <xdr:cNvSpPr txBox="1"/>
      </xdr:nvSpPr>
      <xdr:spPr>
        <a:xfrm>
          <a:off x="15523535" y="2604977"/>
          <a:ext cx="2232836" cy="673395"/>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bg2">
                  <a:lumMod val="90000"/>
                </a:schemeClr>
              </a:solidFill>
              <a:effectLst/>
              <a:latin typeface="+mn-lt"/>
              <a:ea typeface="+mn-ea"/>
              <a:cs typeface="+mn-cs"/>
            </a:rPr>
            <a:t>Sales By Platform</a:t>
          </a:r>
          <a:endParaRPr lang="en-US" sz="2000">
            <a:solidFill>
              <a:schemeClr val="bg2">
                <a:lumMod val="90000"/>
              </a:schemeClr>
            </a:solidFill>
            <a:effectLst/>
          </a:endParaRPr>
        </a:p>
        <a:p>
          <a:endParaRPr lang="en-US" sz="1100"/>
        </a:p>
      </xdr:txBody>
    </xdr:sp>
    <xdr:clientData/>
  </xdr:twoCellAnchor>
  <xdr:twoCellAnchor>
    <xdr:from>
      <xdr:col>5</xdr:col>
      <xdr:colOff>475130</xdr:colOff>
      <xdr:row>13</xdr:row>
      <xdr:rowOff>29308</xdr:rowOff>
    </xdr:from>
    <xdr:to>
      <xdr:col>9</xdr:col>
      <xdr:colOff>68384</xdr:colOff>
      <xdr:row>15</xdr:row>
      <xdr:rowOff>107461</xdr:rowOff>
    </xdr:to>
    <xdr:sp macro="" textlink="">
      <xdr:nvSpPr>
        <xdr:cNvPr id="23" name="TextBox 22">
          <a:extLst>
            <a:ext uri="{FF2B5EF4-FFF2-40B4-BE49-F238E27FC236}">
              <a16:creationId xmlns:a16="http://schemas.microsoft.com/office/drawing/2014/main" id="{4FC142AC-EF10-BDD6-0406-95A7431D4463}"/>
            </a:ext>
          </a:extLst>
        </xdr:cNvPr>
        <xdr:cNvSpPr txBox="1"/>
      </xdr:nvSpPr>
      <xdr:spPr>
        <a:xfrm>
          <a:off x="3531990" y="2448215"/>
          <a:ext cx="2038743" cy="450293"/>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solidFill>
                <a:schemeClr val="bg2">
                  <a:lumMod val="90000"/>
                </a:schemeClr>
              </a:solidFill>
            </a:rPr>
            <a:t>  </a:t>
          </a:r>
          <a:r>
            <a:rPr lang="en-US" sz="2400" baseline="0">
              <a:solidFill>
                <a:schemeClr val="bg2">
                  <a:lumMod val="90000"/>
                </a:schemeClr>
              </a:solidFill>
            </a:rPr>
            <a:t>  </a:t>
          </a:r>
          <a:r>
            <a:rPr lang="en-US" sz="2400">
              <a:solidFill>
                <a:schemeClr val="bg2">
                  <a:lumMod val="90000"/>
                </a:schemeClr>
              </a:solidFill>
            </a:rPr>
            <a:t>Best Seller</a:t>
          </a:r>
        </a:p>
      </xdr:txBody>
    </xdr:sp>
    <xdr:clientData/>
  </xdr:twoCellAnchor>
  <xdr:twoCellAnchor>
    <xdr:from>
      <xdr:col>5</xdr:col>
      <xdr:colOff>503007</xdr:colOff>
      <xdr:row>8</xdr:row>
      <xdr:rowOff>72905</xdr:rowOff>
    </xdr:from>
    <xdr:to>
      <xdr:col>9</xdr:col>
      <xdr:colOff>87814</xdr:colOff>
      <xdr:row>11</xdr:row>
      <xdr:rowOff>46928</xdr:rowOff>
    </xdr:to>
    <xdr:sp macro="" textlink="'Pivot table'!A15">
      <xdr:nvSpPr>
        <xdr:cNvPr id="24" name="TextBox 23">
          <a:extLst>
            <a:ext uri="{FF2B5EF4-FFF2-40B4-BE49-F238E27FC236}">
              <a16:creationId xmlns:a16="http://schemas.microsoft.com/office/drawing/2014/main" id="{2D4A2B13-8593-3DB7-381D-984DC70A60D1}"/>
            </a:ext>
          </a:extLst>
        </xdr:cNvPr>
        <xdr:cNvSpPr txBox="1"/>
      </xdr:nvSpPr>
      <xdr:spPr>
        <a:xfrm>
          <a:off x="3559867" y="1561463"/>
          <a:ext cx="2030296" cy="532232"/>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DA6037-BF55-4245-9793-BDCC615E6CFD}" type="TxLink">
            <a:rPr lang="en-US" sz="2800" b="0" i="0" u="none" strike="noStrike">
              <a:solidFill>
                <a:schemeClr val="bg1"/>
              </a:solidFill>
              <a:latin typeface="Calibri"/>
              <a:cs typeface="Calibri"/>
            </a:rPr>
            <a:pPr algn="ctr"/>
            <a:t> 1,156,207 </a:t>
          </a:fld>
          <a:endParaRPr lang="en-US" sz="2800">
            <a:solidFill>
              <a:schemeClr val="bg1"/>
            </a:solidFill>
          </a:endParaRPr>
        </a:p>
      </xdr:txBody>
    </xdr:sp>
    <xdr:clientData/>
  </xdr:twoCellAnchor>
  <xdr:twoCellAnchor>
    <xdr:from>
      <xdr:col>18</xdr:col>
      <xdr:colOff>286642</xdr:colOff>
      <xdr:row>4</xdr:row>
      <xdr:rowOff>201448</xdr:rowOff>
    </xdr:from>
    <xdr:to>
      <xdr:col>23</xdr:col>
      <xdr:colOff>81015</xdr:colOff>
      <xdr:row>8</xdr:row>
      <xdr:rowOff>137594</xdr:rowOff>
    </xdr:to>
    <xdr:sp macro="" textlink="">
      <xdr:nvSpPr>
        <xdr:cNvPr id="25" name="TextBox 24">
          <a:extLst>
            <a:ext uri="{FF2B5EF4-FFF2-40B4-BE49-F238E27FC236}">
              <a16:creationId xmlns:a16="http://schemas.microsoft.com/office/drawing/2014/main" id="{910A2346-CEBD-1CD6-F245-36BEDC1D311E}"/>
            </a:ext>
          </a:extLst>
        </xdr:cNvPr>
        <xdr:cNvSpPr txBox="1"/>
      </xdr:nvSpPr>
      <xdr:spPr>
        <a:xfrm>
          <a:off x="10534228" y="1112345"/>
          <a:ext cx="2640925" cy="847042"/>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400">
              <a:solidFill>
                <a:schemeClr val="bg2">
                  <a:lumMod val="90000"/>
                </a:schemeClr>
              </a:solidFill>
            </a:rPr>
            <a:t> </a:t>
          </a:r>
          <a:r>
            <a:rPr lang="en-US" sz="2800">
              <a:solidFill>
                <a:schemeClr val="bg2">
                  <a:lumMod val="90000"/>
                </a:schemeClr>
              </a:solidFill>
            </a:rPr>
            <a:t>Avg.Selling Price</a:t>
          </a:r>
          <a:endParaRPr lang="en-US" sz="2400">
            <a:solidFill>
              <a:schemeClr val="bg2">
                <a:lumMod val="90000"/>
              </a:schemeClr>
            </a:solidFill>
          </a:endParaRPr>
        </a:p>
      </xdr:txBody>
    </xdr:sp>
    <xdr:clientData/>
  </xdr:twoCellAnchor>
  <xdr:twoCellAnchor>
    <xdr:from>
      <xdr:col>11</xdr:col>
      <xdr:colOff>453709</xdr:colOff>
      <xdr:row>5</xdr:row>
      <xdr:rowOff>36286</xdr:rowOff>
    </xdr:from>
    <xdr:to>
      <xdr:col>16</xdr:col>
      <xdr:colOff>289186</xdr:colOff>
      <xdr:row>8</xdr:row>
      <xdr:rowOff>24189</xdr:rowOff>
    </xdr:to>
    <xdr:sp macro="" textlink="">
      <xdr:nvSpPr>
        <xdr:cNvPr id="26" name="TextBox 25">
          <a:extLst>
            <a:ext uri="{FF2B5EF4-FFF2-40B4-BE49-F238E27FC236}">
              <a16:creationId xmlns:a16="http://schemas.microsoft.com/office/drawing/2014/main" id="{65DC3338-4B88-480A-A01A-60D297F92EF6}"/>
            </a:ext>
          </a:extLst>
        </xdr:cNvPr>
        <xdr:cNvSpPr txBox="1"/>
      </xdr:nvSpPr>
      <xdr:spPr>
        <a:xfrm>
          <a:off x="7178802" y="966635"/>
          <a:ext cx="2892337" cy="546112"/>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2">
                  <a:lumMod val="90000"/>
                </a:schemeClr>
              </a:solidFill>
              <a:latin typeface="+mn-lt"/>
              <a:ea typeface="+mn-ea"/>
              <a:cs typeface="+mn-cs"/>
            </a:rPr>
            <a:t>    </a:t>
          </a:r>
          <a:r>
            <a:rPr lang="en-US" sz="3200">
              <a:solidFill>
                <a:schemeClr val="bg2">
                  <a:lumMod val="90000"/>
                </a:schemeClr>
              </a:solidFill>
              <a:latin typeface="+mn-lt"/>
              <a:ea typeface="+mn-ea"/>
              <a:cs typeface="+mn-cs"/>
            </a:rPr>
            <a:t>Total</a:t>
          </a:r>
          <a:r>
            <a:rPr lang="en-US" sz="3200">
              <a:solidFill>
                <a:schemeClr val="bg2">
                  <a:lumMod val="90000"/>
                </a:schemeClr>
              </a:solidFill>
            </a:rPr>
            <a:t> Orders</a:t>
          </a:r>
          <a:endParaRPr lang="en-US" sz="2800">
            <a:solidFill>
              <a:schemeClr val="bg2">
                <a:lumMod val="90000"/>
              </a:schemeClr>
            </a:solidFill>
          </a:endParaRPr>
        </a:p>
      </xdr:txBody>
    </xdr:sp>
    <xdr:clientData/>
  </xdr:twoCellAnchor>
  <xdr:twoCellAnchor>
    <xdr:from>
      <xdr:col>11</xdr:col>
      <xdr:colOff>356595</xdr:colOff>
      <xdr:row>9</xdr:row>
      <xdr:rowOff>18426</xdr:rowOff>
    </xdr:from>
    <xdr:to>
      <xdr:col>14</xdr:col>
      <xdr:colOff>547095</xdr:colOff>
      <xdr:row>11</xdr:row>
      <xdr:rowOff>34798</xdr:rowOff>
    </xdr:to>
    <xdr:sp macro="" textlink="'Pivot table'!D13">
      <xdr:nvSpPr>
        <xdr:cNvPr id="29" name="TextBox 28">
          <a:extLst>
            <a:ext uri="{FF2B5EF4-FFF2-40B4-BE49-F238E27FC236}">
              <a16:creationId xmlns:a16="http://schemas.microsoft.com/office/drawing/2014/main" id="{EBA43E16-A6AE-4021-A23C-6201D4B0CB7B}"/>
            </a:ext>
          </a:extLst>
        </xdr:cNvPr>
        <xdr:cNvSpPr txBox="1"/>
      </xdr:nvSpPr>
      <xdr:spPr>
        <a:xfrm>
          <a:off x="7081688" y="1693054"/>
          <a:ext cx="2024616" cy="388511"/>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0D76B6-D291-4750-981F-802D64A7FA55}" type="TxLink">
            <a:rPr lang="en-US" sz="2800" b="0" i="0" u="none" strike="noStrike">
              <a:solidFill>
                <a:schemeClr val="bg1"/>
              </a:solidFill>
              <a:latin typeface="Calibri"/>
              <a:ea typeface="+mn-ea"/>
              <a:cs typeface="Calibri"/>
            </a:rPr>
            <a:pPr marL="0" indent="0" algn="ctr"/>
            <a:t>111</a:t>
          </a:fld>
          <a:endParaRPr lang="en-US" sz="2800" b="0" i="0" u="none" strike="noStrike">
            <a:solidFill>
              <a:schemeClr val="bg1"/>
            </a:solidFill>
            <a:latin typeface="Calibri"/>
            <a:ea typeface="+mn-ea"/>
            <a:cs typeface="Calibri"/>
          </a:endParaRPr>
        </a:p>
      </xdr:txBody>
    </xdr:sp>
    <xdr:clientData/>
  </xdr:twoCellAnchor>
  <xdr:twoCellAnchor>
    <xdr:from>
      <xdr:col>18</xdr:col>
      <xdr:colOff>155631</xdr:colOff>
      <xdr:row>8</xdr:row>
      <xdr:rowOff>121583</xdr:rowOff>
    </xdr:from>
    <xdr:to>
      <xdr:col>21</xdr:col>
      <xdr:colOff>345922</xdr:colOff>
      <xdr:row>11</xdr:row>
      <xdr:rowOff>95606</xdr:rowOff>
    </xdr:to>
    <xdr:sp macro="" textlink="'Pivot table'!G14">
      <xdr:nvSpPr>
        <xdr:cNvPr id="30" name="TextBox 29">
          <a:extLst>
            <a:ext uri="{FF2B5EF4-FFF2-40B4-BE49-F238E27FC236}">
              <a16:creationId xmlns:a16="http://schemas.microsoft.com/office/drawing/2014/main" id="{252852DD-F522-462A-A9BE-1EBCD7367481}"/>
            </a:ext>
          </a:extLst>
        </xdr:cNvPr>
        <xdr:cNvSpPr txBox="1"/>
      </xdr:nvSpPr>
      <xdr:spPr>
        <a:xfrm>
          <a:off x="11160329" y="1610141"/>
          <a:ext cx="2024407" cy="532232"/>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40C2AB-36C2-4458-A16A-D0746DAF5CC4}" type="TxLink">
            <a:rPr lang="en-US" sz="3200" b="0" i="0" u="none" strike="noStrike">
              <a:solidFill>
                <a:schemeClr val="bg1"/>
              </a:solidFill>
              <a:latin typeface="Calibri"/>
              <a:ea typeface="+mn-ea"/>
              <a:cs typeface="Calibri"/>
            </a:rPr>
            <a:pPr marL="0" indent="0" algn="ctr"/>
            <a:t> 9,973 </a:t>
          </a:fld>
          <a:endParaRPr lang="en-US" sz="6600" b="0" i="0" u="none" strike="noStrike">
            <a:solidFill>
              <a:schemeClr val="bg1"/>
            </a:solidFill>
            <a:latin typeface="Calibri"/>
            <a:ea typeface="+mn-ea"/>
            <a:cs typeface="Calibri"/>
          </a:endParaRPr>
        </a:p>
      </xdr:txBody>
    </xdr:sp>
    <xdr:clientData/>
  </xdr:twoCellAnchor>
  <xdr:twoCellAnchor>
    <xdr:from>
      <xdr:col>24</xdr:col>
      <xdr:colOff>94310</xdr:colOff>
      <xdr:row>9</xdr:row>
      <xdr:rowOff>78828</xdr:rowOff>
    </xdr:from>
    <xdr:to>
      <xdr:col>27</xdr:col>
      <xdr:colOff>289646</xdr:colOff>
      <xdr:row>11</xdr:row>
      <xdr:rowOff>37137</xdr:rowOff>
    </xdr:to>
    <xdr:sp macro="" textlink="'Pivot table'!T15">
      <xdr:nvSpPr>
        <xdr:cNvPr id="31" name="TextBox 30">
          <a:extLst>
            <a:ext uri="{FF2B5EF4-FFF2-40B4-BE49-F238E27FC236}">
              <a16:creationId xmlns:a16="http://schemas.microsoft.com/office/drawing/2014/main" id="{FBE09EE5-CE29-4F86-86DC-C1DF0FD329FC}"/>
            </a:ext>
          </a:extLst>
        </xdr:cNvPr>
        <xdr:cNvSpPr txBox="1"/>
      </xdr:nvSpPr>
      <xdr:spPr>
        <a:xfrm>
          <a:off x="13757758" y="2128345"/>
          <a:ext cx="1903267" cy="41375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32F966-AC17-4D83-8439-79F33136BEBD}" type="TxLink">
            <a:rPr lang="en-US" sz="3200" b="0" i="0" u="none" strike="noStrike">
              <a:solidFill>
                <a:schemeClr val="bg1"/>
              </a:solidFill>
              <a:latin typeface="Calibri"/>
              <a:ea typeface="+mn-ea"/>
              <a:cs typeface="Calibri"/>
            </a:rPr>
            <a:pPr marL="0" indent="0" algn="ctr"/>
            <a:t>48%</a:t>
          </a:fld>
          <a:endParaRPr lang="en-US" sz="6600" b="0" i="0" u="none" strike="noStrike">
            <a:solidFill>
              <a:schemeClr val="bg1"/>
            </a:solidFill>
            <a:latin typeface="Calibri"/>
            <a:ea typeface="+mn-ea"/>
            <a:cs typeface="Calibri"/>
          </a:endParaRPr>
        </a:p>
      </xdr:txBody>
    </xdr:sp>
    <xdr:clientData/>
  </xdr:twoCellAnchor>
  <xdr:twoCellAnchor>
    <xdr:from>
      <xdr:col>24</xdr:col>
      <xdr:colOff>325469</xdr:colOff>
      <xdr:row>17</xdr:row>
      <xdr:rowOff>106002</xdr:rowOff>
    </xdr:from>
    <xdr:to>
      <xdr:col>29</xdr:col>
      <xdr:colOff>411366</xdr:colOff>
      <xdr:row>35</xdr:row>
      <xdr:rowOff>62458</xdr:rowOff>
    </xdr:to>
    <xdr:graphicFrame macro="">
      <xdr:nvGraphicFramePr>
        <xdr:cNvPr id="32" name="Chart 31">
          <a:extLst>
            <a:ext uri="{FF2B5EF4-FFF2-40B4-BE49-F238E27FC236}">
              <a16:creationId xmlns:a16="http://schemas.microsoft.com/office/drawing/2014/main" id="{0EBECD2E-B82B-4FC1-B5CB-C78720510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363739</xdr:colOff>
      <xdr:row>15</xdr:row>
      <xdr:rowOff>97692</xdr:rowOff>
    </xdr:from>
    <xdr:to>
      <xdr:col>11</xdr:col>
      <xdr:colOff>117231</xdr:colOff>
      <xdr:row>23</xdr:row>
      <xdr:rowOff>39077</xdr:rowOff>
    </xdr:to>
    <xdr:graphicFrame macro="">
      <xdr:nvGraphicFramePr>
        <xdr:cNvPr id="33" name="Chart 32">
          <a:extLst>
            <a:ext uri="{FF2B5EF4-FFF2-40B4-BE49-F238E27FC236}">
              <a16:creationId xmlns:a16="http://schemas.microsoft.com/office/drawing/2014/main" id="{2559E19A-3212-430B-85D2-1C6C287AE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233082</xdr:colOff>
      <xdr:row>24</xdr:row>
      <xdr:rowOff>107575</xdr:rowOff>
    </xdr:from>
    <xdr:to>
      <xdr:col>13</xdr:col>
      <xdr:colOff>134471</xdr:colOff>
      <xdr:row>25</xdr:row>
      <xdr:rowOff>161364</xdr:rowOff>
    </xdr:to>
    <xdr:sp macro="" textlink="">
      <xdr:nvSpPr>
        <xdr:cNvPr id="36" name="TextBox 35">
          <a:extLst>
            <a:ext uri="{FF2B5EF4-FFF2-40B4-BE49-F238E27FC236}">
              <a16:creationId xmlns:a16="http://schemas.microsoft.com/office/drawing/2014/main" id="{95A562F9-C4B6-CF72-50A5-4CBF952C28BD}"/>
            </a:ext>
          </a:extLst>
        </xdr:cNvPr>
        <xdr:cNvSpPr txBox="1"/>
      </xdr:nvSpPr>
      <xdr:spPr>
        <a:xfrm>
          <a:off x="3901315" y="4573249"/>
          <a:ext cx="4180993" cy="239859"/>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2">
                  <a:lumMod val="90000"/>
                </a:schemeClr>
              </a:solidFill>
            </a:rPr>
            <a:t>Best Color Sold</a:t>
          </a:r>
        </a:p>
      </xdr:txBody>
    </xdr:sp>
    <xdr:clientData/>
  </xdr:twoCellAnchor>
  <xdr:twoCellAnchor>
    <xdr:from>
      <xdr:col>11</xdr:col>
      <xdr:colOff>389864</xdr:colOff>
      <xdr:row>12</xdr:row>
      <xdr:rowOff>166077</xdr:rowOff>
    </xdr:from>
    <xdr:to>
      <xdr:col>18</xdr:col>
      <xdr:colOff>9769</xdr:colOff>
      <xdr:row>23</xdr:row>
      <xdr:rowOff>138802</xdr:rowOff>
    </xdr:to>
    <xdr:sp macro="" textlink="">
      <xdr:nvSpPr>
        <xdr:cNvPr id="38" name="Rectangle: Rounded Corners 37">
          <a:extLst>
            <a:ext uri="{FF2B5EF4-FFF2-40B4-BE49-F238E27FC236}">
              <a16:creationId xmlns:a16="http://schemas.microsoft.com/office/drawing/2014/main" id="{72B1375D-B613-494C-9683-3F1B13020BEB}"/>
            </a:ext>
          </a:extLst>
        </xdr:cNvPr>
        <xdr:cNvSpPr/>
      </xdr:nvSpPr>
      <xdr:spPr>
        <a:xfrm>
          <a:off x="7114957" y="2398914"/>
          <a:ext cx="3899510" cy="2019493"/>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endParaRPr lang="en-US"/>
        </a:p>
      </xdr:txBody>
    </xdr:sp>
    <xdr:clientData/>
  </xdr:twoCellAnchor>
  <xdr:twoCellAnchor>
    <xdr:from>
      <xdr:col>12</xdr:col>
      <xdr:colOff>35531</xdr:colOff>
      <xdr:row>15</xdr:row>
      <xdr:rowOff>43545</xdr:rowOff>
    </xdr:from>
    <xdr:to>
      <xdr:col>17</xdr:col>
      <xdr:colOff>312508</xdr:colOff>
      <xdr:row>23</xdr:row>
      <xdr:rowOff>9895</xdr:rowOff>
    </xdr:to>
    <xdr:graphicFrame macro="">
      <xdr:nvGraphicFramePr>
        <xdr:cNvPr id="39" name="Chart 38">
          <a:extLst>
            <a:ext uri="{FF2B5EF4-FFF2-40B4-BE49-F238E27FC236}">
              <a16:creationId xmlns:a16="http://schemas.microsoft.com/office/drawing/2014/main" id="{FD5D5829-6E67-4543-9C7A-CB648415A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187739</xdr:colOff>
      <xdr:row>26</xdr:row>
      <xdr:rowOff>22087</xdr:rowOff>
    </xdr:from>
    <xdr:to>
      <xdr:col>15</xdr:col>
      <xdr:colOff>177452</xdr:colOff>
      <xdr:row>35</xdr:row>
      <xdr:rowOff>121478</xdr:rowOff>
    </xdr:to>
    <xdr:graphicFrame macro="">
      <xdr:nvGraphicFramePr>
        <xdr:cNvPr id="40" name="Chart 39">
          <a:extLst>
            <a:ext uri="{FF2B5EF4-FFF2-40B4-BE49-F238E27FC236}">
              <a16:creationId xmlns:a16="http://schemas.microsoft.com/office/drawing/2014/main" id="{2938E6FE-10A4-4927-91D6-274FB1A48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344905</xdr:colOff>
      <xdr:row>13</xdr:row>
      <xdr:rowOff>11205</xdr:rowOff>
    </xdr:from>
    <xdr:to>
      <xdr:col>17</xdr:col>
      <xdr:colOff>324971</xdr:colOff>
      <xdr:row>15</xdr:row>
      <xdr:rowOff>56866</xdr:rowOff>
    </xdr:to>
    <xdr:sp macro="" textlink="">
      <xdr:nvSpPr>
        <xdr:cNvPr id="41" name="TextBox 40">
          <a:extLst>
            <a:ext uri="{FF2B5EF4-FFF2-40B4-BE49-F238E27FC236}">
              <a16:creationId xmlns:a16="http://schemas.microsoft.com/office/drawing/2014/main" id="{48FA4464-EC48-CA54-B242-A5A7E5D80ACB}"/>
            </a:ext>
          </a:extLst>
        </xdr:cNvPr>
        <xdr:cNvSpPr txBox="1"/>
      </xdr:nvSpPr>
      <xdr:spPr>
        <a:xfrm>
          <a:off x="7681370" y="2430112"/>
          <a:ext cx="3036927" cy="417801"/>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chemeClr val="bg2">
                  <a:lumMod val="90000"/>
                </a:schemeClr>
              </a:solidFill>
            </a:rPr>
            <a:t>Delivery Status Breakdown</a:t>
          </a:r>
        </a:p>
      </xdr:txBody>
    </xdr:sp>
    <xdr:clientData/>
  </xdr:twoCellAnchor>
  <xdr:twoCellAnchor>
    <xdr:from>
      <xdr:col>18</xdr:col>
      <xdr:colOff>68384</xdr:colOff>
      <xdr:row>13</xdr:row>
      <xdr:rowOff>9769</xdr:rowOff>
    </xdr:from>
    <xdr:to>
      <xdr:col>24</xdr:col>
      <xdr:colOff>96982</xdr:colOff>
      <xdr:row>23</xdr:row>
      <xdr:rowOff>124692</xdr:rowOff>
    </xdr:to>
    <xdr:sp macro="" textlink="">
      <xdr:nvSpPr>
        <xdr:cNvPr id="43" name="Rectangle: Rounded Corners 42">
          <a:extLst>
            <a:ext uri="{FF2B5EF4-FFF2-40B4-BE49-F238E27FC236}">
              <a16:creationId xmlns:a16="http://schemas.microsoft.com/office/drawing/2014/main" id="{520565BD-2A28-49BF-A56E-F2428B088CE3}"/>
            </a:ext>
          </a:extLst>
        </xdr:cNvPr>
        <xdr:cNvSpPr/>
      </xdr:nvSpPr>
      <xdr:spPr>
        <a:xfrm>
          <a:off x="11073082" y="2428676"/>
          <a:ext cx="3696830" cy="1975621"/>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endParaRPr lang="en-US"/>
        </a:p>
      </xdr:txBody>
    </xdr:sp>
    <xdr:clientData/>
  </xdr:twoCellAnchor>
  <xdr:twoCellAnchor>
    <xdr:from>
      <xdr:col>18</xdr:col>
      <xdr:colOff>183627</xdr:colOff>
      <xdr:row>15</xdr:row>
      <xdr:rowOff>78617</xdr:rowOff>
    </xdr:from>
    <xdr:to>
      <xdr:col>23</xdr:col>
      <xdr:colOff>479960</xdr:colOff>
      <xdr:row>22</xdr:row>
      <xdr:rowOff>96762</xdr:rowOff>
    </xdr:to>
    <xdr:graphicFrame macro="">
      <xdr:nvGraphicFramePr>
        <xdr:cNvPr id="44" name="Chart 43">
          <a:extLst>
            <a:ext uri="{FF2B5EF4-FFF2-40B4-BE49-F238E27FC236}">
              <a16:creationId xmlns:a16="http://schemas.microsoft.com/office/drawing/2014/main" id="{00B9F73B-E0FB-4D79-8E90-A6B67EE55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316859</xdr:colOff>
      <xdr:row>13</xdr:row>
      <xdr:rowOff>11205</xdr:rowOff>
    </xdr:from>
    <xdr:to>
      <xdr:col>22</xdr:col>
      <xdr:colOff>459441</xdr:colOff>
      <xdr:row>15</xdr:row>
      <xdr:rowOff>160355</xdr:rowOff>
    </xdr:to>
    <xdr:sp macro="" textlink="">
      <xdr:nvSpPr>
        <xdr:cNvPr id="45" name="TextBox 44">
          <a:extLst>
            <a:ext uri="{FF2B5EF4-FFF2-40B4-BE49-F238E27FC236}">
              <a16:creationId xmlns:a16="http://schemas.microsoft.com/office/drawing/2014/main" id="{5B5C00CC-3660-7EBB-6D49-87B87283663A}"/>
            </a:ext>
          </a:extLst>
        </xdr:cNvPr>
        <xdr:cNvSpPr txBox="1"/>
      </xdr:nvSpPr>
      <xdr:spPr>
        <a:xfrm>
          <a:off x="11932929" y="2430112"/>
          <a:ext cx="1976698" cy="52129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2">
                  <a:lumMod val="90000"/>
                </a:schemeClr>
              </a:solidFill>
            </a:rPr>
            <a:t>Customs Type</a:t>
          </a:r>
        </a:p>
      </xdr:txBody>
    </xdr:sp>
    <xdr:clientData/>
  </xdr:twoCellAnchor>
  <xdr:twoCellAnchor>
    <xdr:from>
      <xdr:col>0</xdr:col>
      <xdr:colOff>543483</xdr:colOff>
      <xdr:row>3</xdr:row>
      <xdr:rowOff>53789</xdr:rowOff>
    </xdr:from>
    <xdr:to>
      <xdr:col>4</xdr:col>
      <xdr:colOff>327334</xdr:colOff>
      <xdr:row>12</xdr:row>
      <xdr:rowOff>67597</xdr:rowOff>
    </xdr:to>
    <xdr:sp macro="" textlink="">
      <xdr:nvSpPr>
        <xdr:cNvPr id="46" name="Oval 45">
          <a:extLst>
            <a:ext uri="{FF2B5EF4-FFF2-40B4-BE49-F238E27FC236}">
              <a16:creationId xmlns:a16="http://schemas.microsoft.com/office/drawing/2014/main" id="{638C6692-DADC-9A6E-80C3-9703CA507858}"/>
            </a:ext>
          </a:extLst>
        </xdr:cNvPr>
        <xdr:cNvSpPr/>
      </xdr:nvSpPr>
      <xdr:spPr>
        <a:xfrm>
          <a:off x="543483" y="753036"/>
          <a:ext cx="2078816" cy="2111549"/>
        </a:xfrm>
        <a:prstGeom prst="ellipse">
          <a:avLst/>
        </a:prstGeom>
        <a:solidFill>
          <a:srgbClr val="1B2A49"/>
        </a:solidFill>
        <a:ln>
          <a:solidFill>
            <a:srgbClr val="A603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ar-EG"/>
            <a:t>R</a:t>
          </a:r>
          <a:endParaRPr lang="en-US"/>
        </a:p>
      </xdr:txBody>
    </xdr:sp>
    <xdr:clientData/>
  </xdr:twoCellAnchor>
  <xdr:twoCellAnchor editAs="oneCell">
    <xdr:from>
      <xdr:col>1</xdr:col>
      <xdr:colOff>287956</xdr:colOff>
      <xdr:row>4</xdr:row>
      <xdr:rowOff>216337</xdr:rowOff>
    </xdr:from>
    <xdr:to>
      <xdr:col>4</xdr:col>
      <xdr:colOff>43105</xdr:colOff>
      <xdr:row>10</xdr:row>
      <xdr:rowOff>74373</xdr:rowOff>
    </xdr:to>
    <xdr:pic>
      <xdr:nvPicPr>
        <xdr:cNvPr id="48" name="Picture 47">
          <a:hlinkClick xmlns:r="http://schemas.openxmlformats.org/officeDocument/2006/relationships" r:id="rId6"/>
          <a:extLst>
            <a:ext uri="{FF2B5EF4-FFF2-40B4-BE49-F238E27FC236}">
              <a16:creationId xmlns:a16="http://schemas.microsoft.com/office/drawing/2014/main" id="{F82F613F-22E6-252A-17E5-6E880643CE0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7266" y="1127234"/>
          <a:ext cx="1463080" cy="1224380"/>
        </a:xfrm>
        <a:prstGeom prst="rect">
          <a:avLst/>
        </a:prstGeom>
        <a:solidFill>
          <a:srgbClr val="1B2A49"/>
        </a:solidFill>
        <a:ln>
          <a:noFill/>
        </a:ln>
      </xdr:spPr>
    </xdr:pic>
    <xdr:clientData/>
  </xdr:twoCellAnchor>
  <xdr:twoCellAnchor editAs="oneCell">
    <xdr:from>
      <xdr:col>0</xdr:col>
      <xdr:colOff>253025</xdr:colOff>
      <xdr:row>28</xdr:row>
      <xdr:rowOff>32934</xdr:rowOff>
    </xdr:from>
    <xdr:to>
      <xdr:col>4</xdr:col>
      <xdr:colOff>440712</xdr:colOff>
      <xdr:row>34</xdr:row>
      <xdr:rowOff>191090</xdr:rowOff>
    </xdr:to>
    <mc:AlternateContent xmlns:mc="http://schemas.openxmlformats.org/markup-compatibility/2006">
      <mc:Choice xmlns:a14="http://schemas.microsoft.com/office/drawing/2010/main" Requires="a14">
        <xdr:graphicFrame macro="">
          <xdr:nvGraphicFramePr>
            <xdr:cNvPr id="49" name="منصة البيع">
              <a:extLst>
                <a:ext uri="{FF2B5EF4-FFF2-40B4-BE49-F238E27FC236}">
                  <a16:creationId xmlns:a16="http://schemas.microsoft.com/office/drawing/2014/main" id="{87D91846-D0B1-4078-8BD5-8952BF053DA3}"/>
                </a:ext>
              </a:extLst>
            </xdr:cNvPr>
            <xdr:cNvGraphicFramePr/>
          </xdr:nvGraphicFramePr>
          <xdr:xfrm>
            <a:off x="0" y="0"/>
            <a:ext cx="0" cy="0"/>
          </xdr:xfrm>
          <a:graphic>
            <a:graphicData uri="http://schemas.microsoft.com/office/drawing/2010/slicer">
              <sle:slicer xmlns:sle="http://schemas.microsoft.com/office/drawing/2010/slicer" name="منصة البيع"/>
            </a:graphicData>
          </a:graphic>
        </xdr:graphicFrame>
      </mc:Choice>
      <mc:Fallback>
        <xdr:sp macro="" textlink="">
          <xdr:nvSpPr>
            <xdr:cNvPr id="0" name=""/>
            <xdr:cNvSpPr>
              <a:spLocks noTextEdit="1"/>
            </xdr:cNvSpPr>
          </xdr:nvSpPr>
          <xdr:spPr>
            <a:xfrm>
              <a:off x="253025" y="6559240"/>
              <a:ext cx="2482652" cy="155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233241</xdr:colOff>
      <xdr:row>16</xdr:row>
      <xdr:rowOff>67341</xdr:rowOff>
    </xdr:from>
    <xdr:to>
      <xdr:col>4</xdr:col>
      <xdr:colOff>478015</xdr:colOff>
      <xdr:row>22</xdr:row>
      <xdr:rowOff>99571</xdr:rowOff>
    </xdr:to>
    <mc:AlternateContent xmlns:mc="http://schemas.openxmlformats.org/markup-compatibility/2006">
      <mc:Choice xmlns:a14="http://schemas.microsoft.com/office/drawing/2010/main" Requires="a14">
        <xdr:graphicFrame macro="">
          <xdr:nvGraphicFramePr>
            <xdr:cNvPr id="50" name="المحافظة">
              <a:extLst>
                <a:ext uri="{FF2B5EF4-FFF2-40B4-BE49-F238E27FC236}">
                  <a16:creationId xmlns:a16="http://schemas.microsoft.com/office/drawing/2014/main" id="{7E56FE2F-3FBF-45EF-94E9-E8F5435E4045}"/>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dr:sp macro="" textlink="">
          <xdr:nvSpPr>
            <xdr:cNvPr id="0" name=""/>
            <xdr:cNvSpPr>
              <a:spLocks noTextEdit="1"/>
            </xdr:cNvSpPr>
          </xdr:nvSpPr>
          <xdr:spPr>
            <a:xfrm>
              <a:off x="233241" y="3796659"/>
              <a:ext cx="2539739" cy="1430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294886</xdr:colOff>
      <xdr:row>23</xdr:row>
      <xdr:rowOff>151329</xdr:rowOff>
    </xdr:from>
    <xdr:to>
      <xdr:col>4</xdr:col>
      <xdr:colOff>486437</xdr:colOff>
      <xdr:row>27</xdr:row>
      <xdr:rowOff>141591</xdr:rowOff>
    </xdr:to>
    <mc:AlternateContent xmlns:mc="http://schemas.openxmlformats.org/markup-compatibility/2006">
      <mc:Choice xmlns:a14="http://schemas.microsoft.com/office/drawing/2010/main" Requires="a14">
        <xdr:graphicFrame macro="">
          <xdr:nvGraphicFramePr>
            <xdr:cNvPr id="51" name="نوع العميل">
              <a:extLst>
                <a:ext uri="{FF2B5EF4-FFF2-40B4-BE49-F238E27FC236}">
                  <a16:creationId xmlns:a16="http://schemas.microsoft.com/office/drawing/2014/main" id="{08F3C917-F827-4898-94A5-0B025CD3E6D6}"/>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dr:sp macro="" textlink="">
          <xdr:nvSpPr>
            <xdr:cNvPr id="0" name=""/>
            <xdr:cNvSpPr>
              <a:spLocks noTextEdit="1"/>
            </xdr:cNvSpPr>
          </xdr:nvSpPr>
          <xdr:spPr>
            <a:xfrm>
              <a:off x="294886" y="5512223"/>
              <a:ext cx="2486516" cy="922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24</xdr:col>
      <xdr:colOff>313150</xdr:colOff>
      <xdr:row>2</xdr:row>
      <xdr:rowOff>83506</xdr:rowOff>
    </xdr:from>
    <xdr:to>
      <xdr:col>26</xdr:col>
      <xdr:colOff>565355</xdr:colOff>
      <xdr:row>3</xdr:row>
      <xdr:rowOff>104383</xdr:rowOff>
    </xdr:to>
    <xdr:sp macro="" textlink="">
      <xdr:nvSpPr>
        <xdr:cNvPr id="53" name="TextBox 52">
          <a:extLst>
            <a:ext uri="{FF2B5EF4-FFF2-40B4-BE49-F238E27FC236}">
              <a16:creationId xmlns:a16="http://schemas.microsoft.com/office/drawing/2014/main" id="{44F0F061-FFF6-A0F9-AF23-7D37E6AAA39E}"/>
            </a:ext>
          </a:extLst>
        </xdr:cNvPr>
        <xdr:cNvSpPr txBox="1"/>
      </xdr:nvSpPr>
      <xdr:spPr>
        <a:xfrm>
          <a:off x="14986080" y="455646"/>
          <a:ext cx="1474949" cy="206946"/>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a:p>
      </xdr:txBody>
    </xdr:sp>
    <xdr:clientData/>
  </xdr:twoCellAnchor>
  <xdr:twoCellAnchor editAs="oneCell">
    <xdr:from>
      <xdr:col>5</xdr:col>
      <xdr:colOff>251549</xdr:colOff>
      <xdr:row>5</xdr:row>
      <xdr:rowOff>155799</xdr:rowOff>
    </xdr:from>
    <xdr:to>
      <xdr:col>6</xdr:col>
      <xdr:colOff>148775</xdr:colOff>
      <xdr:row>7</xdr:row>
      <xdr:rowOff>189228</xdr:rowOff>
    </xdr:to>
    <xdr:pic>
      <xdr:nvPicPr>
        <xdr:cNvPr id="54" name="Picture 53">
          <a:extLst>
            <a:ext uri="{FF2B5EF4-FFF2-40B4-BE49-F238E27FC236}">
              <a16:creationId xmlns:a16="http://schemas.microsoft.com/office/drawing/2014/main" id="{0B90E6CE-33E8-F3AA-08D8-60C7418C5321}"/>
            </a:ext>
          </a:extLst>
        </xdr:cNvPr>
        <xdr:cNvPicPr>
          <a:picLocks noChangeAspect="1"/>
        </xdr:cNvPicPr>
      </xdr:nvPicPr>
      <xdr:blipFill>
        <a:blip xmlns:r="http://schemas.openxmlformats.org/officeDocument/2006/relationships" r:embed="rId8"/>
        <a:stretch>
          <a:fillRect/>
        </a:stretch>
      </xdr:blipFill>
      <xdr:spPr>
        <a:xfrm>
          <a:off x="3098101" y="1294420"/>
          <a:ext cx="466536" cy="488877"/>
        </a:xfrm>
        <a:prstGeom prst="rect">
          <a:avLst/>
        </a:prstGeom>
      </xdr:spPr>
    </xdr:pic>
    <xdr:clientData/>
  </xdr:twoCellAnchor>
  <xdr:twoCellAnchor editAs="oneCell">
    <xdr:from>
      <xdr:col>11</xdr:col>
      <xdr:colOff>197136</xdr:colOff>
      <xdr:row>5</xdr:row>
      <xdr:rowOff>20509</xdr:rowOff>
    </xdr:from>
    <xdr:to>
      <xdr:col>12</xdr:col>
      <xdr:colOff>258446</xdr:colOff>
      <xdr:row>7</xdr:row>
      <xdr:rowOff>149432</xdr:rowOff>
    </xdr:to>
    <xdr:pic>
      <xdr:nvPicPr>
        <xdr:cNvPr id="55" name="Picture 54">
          <a:extLst>
            <a:ext uri="{FF2B5EF4-FFF2-40B4-BE49-F238E27FC236}">
              <a16:creationId xmlns:a16="http://schemas.microsoft.com/office/drawing/2014/main" id="{025D7C21-E3CE-66D1-8151-96726FE0934D}"/>
            </a:ext>
          </a:extLst>
        </xdr:cNvPr>
        <xdr:cNvPicPr>
          <a:picLocks noChangeAspect="1"/>
        </xdr:cNvPicPr>
      </xdr:nvPicPr>
      <xdr:blipFill>
        <a:blip xmlns:r="http://schemas.openxmlformats.org/officeDocument/2006/relationships" r:embed="rId9"/>
        <a:stretch>
          <a:fillRect/>
        </a:stretch>
      </xdr:blipFill>
      <xdr:spPr>
        <a:xfrm>
          <a:off x="6459550" y="1159130"/>
          <a:ext cx="630620" cy="584371"/>
        </a:xfrm>
        <a:prstGeom prst="rect">
          <a:avLst/>
        </a:prstGeom>
      </xdr:spPr>
    </xdr:pic>
    <xdr:clientData/>
  </xdr:twoCellAnchor>
  <xdr:twoCellAnchor editAs="oneCell">
    <xdr:from>
      <xdr:col>17</xdr:col>
      <xdr:colOff>317045</xdr:colOff>
      <xdr:row>5</xdr:row>
      <xdr:rowOff>36286</xdr:rowOff>
    </xdr:from>
    <xdr:to>
      <xdr:col>18</xdr:col>
      <xdr:colOff>366823</xdr:colOff>
      <xdr:row>7</xdr:row>
      <xdr:rowOff>170588</xdr:rowOff>
    </xdr:to>
    <xdr:pic>
      <xdr:nvPicPr>
        <xdr:cNvPr id="56" name="Picture 55">
          <a:extLst>
            <a:ext uri="{FF2B5EF4-FFF2-40B4-BE49-F238E27FC236}">
              <a16:creationId xmlns:a16="http://schemas.microsoft.com/office/drawing/2014/main" id="{385DCB7A-C713-CC2D-753E-AE4E5FBED446}"/>
            </a:ext>
          </a:extLst>
        </xdr:cNvPr>
        <xdr:cNvPicPr>
          <a:picLocks noChangeAspect="1"/>
        </xdr:cNvPicPr>
      </xdr:nvPicPr>
      <xdr:blipFill>
        <a:blip xmlns:r="http://schemas.openxmlformats.org/officeDocument/2006/relationships" r:embed="rId10"/>
        <a:stretch>
          <a:fillRect/>
        </a:stretch>
      </xdr:blipFill>
      <xdr:spPr>
        <a:xfrm>
          <a:off x="10613814" y="964363"/>
          <a:ext cx="619424" cy="631054"/>
        </a:xfrm>
        <a:prstGeom prst="rect">
          <a:avLst/>
        </a:prstGeom>
      </xdr:spPr>
    </xdr:pic>
    <xdr:clientData/>
  </xdr:twoCellAnchor>
  <xdr:twoCellAnchor editAs="oneCell">
    <xdr:from>
      <xdr:col>23</xdr:col>
      <xdr:colOff>505804</xdr:colOff>
      <xdr:row>6</xdr:row>
      <xdr:rowOff>76540</xdr:rowOff>
    </xdr:from>
    <xdr:to>
      <xdr:col>24</xdr:col>
      <xdr:colOff>311137</xdr:colOff>
      <xdr:row>7</xdr:row>
      <xdr:rowOff>161365</xdr:rowOff>
    </xdr:to>
    <xdr:pic>
      <xdr:nvPicPr>
        <xdr:cNvPr id="57" name="Picture 56">
          <a:extLst>
            <a:ext uri="{FF2B5EF4-FFF2-40B4-BE49-F238E27FC236}">
              <a16:creationId xmlns:a16="http://schemas.microsoft.com/office/drawing/2014/main" id="{6533363F-4676-64A6-085C-03027F63959B}"/>
            </a:ext>
          </a:extLst>
        </xdr:cNvPr>
        <xdr:cNvPicPr>
          <a:picLocks noChangeAspect="1"/>
        </xdr:cNvPicPr>
      </xdr:nvPicPr>
      <xdr:blipFill>
        <a:blip xmlns:r="http://schemas.openxmlformats.org/officeDocument/2006/relationships" r:embed="rId11"/>
        <a:stretch>
          <a:fillRect/>
        </a:stretch>
      </xdr:blipFill>
      <xdr:spPr>
        <a:xfrm>
          <a:off x="13701851" y="1475034"/>
          <a:ext cx="379074" cy="317907"/>
        </a:xfrm>
        <a:prstGeom prst="rect">
          <a:avLst/>
        </a:prstGeom>
      </xdr:spPr>
    </xdr:pic>
    <xdr:clientData/>
  </xdr:twoCellAnchor>
  <xdr:twoCellAnchor editAs="oneCell">
    <xdr:from>
      <xdr:col>5</xdr:col>
      <xdr:colOff>271343</xdr:colOff>
      <xdr:row>13</xdr:row>
      <xdr:rowOff>70869</xdr:rowOff>
    </xdr:from>
    <xdr:to>
      <xdr:col>6</xdr:col>
      <xdr:colOff>148987</xdr:colOff>
      <xdr:row>15</xdr:row>
      <xdr:rowOff>6979</xdr:rowOff>
    </xdr:to>
    <xdr:pic>
      <xdr:nvPicPr>
        <xdr:cNvPr id="58" name="Picture 57">
          <a:extLst>
            <a:ext uri="{FF2B5EF4-FFF2-40B4-BE49-F238E27FC236}">
              <a16:creationId xmlns:a16="http://schemas.microsoft.com/office/drawing/2014/main" id="{3CFDDA60-6768-A2F6-A086-9F2199D2ABE9}"/>
            </a:ext>
          </a:extLst>
        </xdr:cNvPr>
        <xdr:cNvPicPr>
          <a:picLocks noChangeAspect="1"/>
        </xdr:cNvPicPr>
      </xdr:nvPicPr>
      <xdr:blipFill>
        <a:blip xmlns:r="http://schemas.openxmlformats.org/officeDocument/2006/relationships" r:embed="rId12"/>
        <a:stretch>
          <a:fillRect/>
        </a:stretch>
      </xdr:blipFill>
      <xdr:spPr>
        <a:xfrm>
          <a:off x="3299805" y="2483869"/>
          <a:ext cx="446584" cy="425377"/>
        </a:xfrm>
        <a:prstGeom prst="rect">
          <a:avLst/>
        </a:prstGeom>
      </xdr:spPr>
    </xdr:pic>
    <xdr:clientData/>
  </xdr:twoCellAnchor>
  <xdr:twoCellAnchor editAs="oneCell">
    <xdr:from>
      <xdr:col>11</xdr:col>
      <xdr:colOff>591906</xdr:colOff>
      <xdr:row>13</xdr:row>
      <xdr:rowOff>96316</xdr:rowOff>
    </xdr:from>
    <xdr:to>
      <xdr:col>12</xdr:col>
      <xdr:colOff>444673</xdr:colOff>
      <xdr:row>14</xdr:row>
      <xdr:rowOff>186701</xdr:rowOff>
    </xdr:to>
    <xdr:pic>
      <xdr:nvPicPr>
        <xdr:cNvPr id="59" name="Picture 58">
          <a:extLst>
            <a:ext uri="{FF2B5EF4-FFF2-40B4-BE49-F238E27FC236}">
              <a16:creationId xmlns:a16="http://schemas.microsoft.com/office/drawing/2014/main" id="{00C5E814-F9BC-FC1C-8D6A-F0A849C0AD07}"/>
            </a:ext>
          </a:extLst>
        </xdr:cNvPr>
        <xdr:cNvPicPr>
          <a:picLocks noChangeAspect="1"/>
        </xdr:cNvPicPr>
      </xdr:nvPicPr>
      <xdr:blipFill>
        <a:blip xmlns:r="http://schemas.openxmlformats.org/officeDocument/2006/relationships" r:embed="rId13"/>
        <a:stretch>
          <a:fillRect/>
        </a:stretch>
      </xdr:blipFill>
      <xdr:spPr>
        <a:xfrm>
          <a:off x="7248200" y="2427140"/>
          <a:ext cx="444697" cy="329861"/>
        </a:xfrm>
        <a:prstGeom prst="rect">
          <a:avLst/>
        </a:prstGeom>
      </xdr:spPr>
    </xdr:pic>
    <xdr:clientData/>
  </xdr:twoCellAnchor>
  <xdr:twoCellAnchor editAs="oneCell">
    <xdr:from>
      <xdr:col>18</xdr:col>
      <xdr:colOff>465180</xdr:colOff>
      <xdr:row>13</xdr:row>
      <xdr:rowOff>70872</xdr:rowOff>
    </xdr:from>
    <xdr:to>
      <xdr:col>19</xdr:col>
      <xdr:colOff>330123</xdr:colOff>
      <xdr:row>14</xdr:row>
      <xdr:rowOff>216437</xdr:rowOff>
    </xdr:to>
    <xdr:pic>
      <xdr:nvPicPr>
        <xdr:cNvPr id="60" name="Picture 59">
          <a:extLst>
            <a:ext uri="{FF2B5EF4-FFF2-40B4-BE49-F238E27FC236}">
              <a16:creationId xmlns:a16="http://schemas.microsoft.com/office/drawing/2014/main" id="{131D1FCB-77A9-92E0-464D-EE6412E338C6}"/>
            </a:ext>
          </a:extLst>
        </xdr:cNvPr>
        <xdr:cNvPicPr>
          <a:picLocks noChangeAspect="1"/>
        </xdr:cNvPicPr>
      </xdr:nvPicPr>
      <xdr:blipFill>
        <a:blip xmlns:r="http://schemas.openxmlformats.org/officeDocument/2006/relationships" r:embed="rId14"/>
        <a:stretch>
          <a:fillRect/>
        </a:stretch>
      </xdr:blipFill>
      <xdr:spPr>
        <a:xfrm>
          <a:off x="10712766" y="3031286"/>
          <a:ext cx="434254" cy="373289"/>
        </a:xfrm>
        <a:prstGeom prst="rect">
          <a:avLst/>
        </a:prstGeom>
      </xdr:spPr>
    </xdr:pic>
    <xdr:clientData/>
  </xdr:twoCellAnchor>
  <xdr:twoCellAnchor>
    <xdr:from>
      <xdr:col>16</xdr:col>
      <xdr:colOff>84666</xdr:colOff>
      <xdr:row>25</xdr:row>
      <xdr:rowOff>174885</xdr:rowOff>
    </xdr:from>
    <xdr:to>
      <xdr:col>23</xdr:col>
      <xdr:colOff>532811</xdr:colOff>
      <xdr:row>35</xdr:row>
      <xdr:rowOff>154982</xdr:rowOff>
    </xdr:to>
    <xdr:graphicFrame macro="">
      <xdr:nvGraphicFramePr>
        <xdr:cNvPr id="61" name="Chart 60">
          <a:extLst>
            <a:ext uri="{FF2B5EF4-FFF2-40B4-BE49-F238E27FC236}">
              <a16:creationId xmlns:a16="http://schemas.microsoft.com/office/drawing/2014/main" id="{64216FBC-7B35-42F5-9CDC-9CA0839AE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257349</xdr:colOff>
      <xdr:row>24</xdr:row>
      <xdr:rowOff>156246</xdr:rowOff>
    </xdr:from>
    <xdr:to>
      <xdr:col>18</xdr:col>
      <xdr:colOff>561626</xdr:colOff>
      <xdr:row>25</xdr:row>
      <xdr:rowOff>138180</xdr:rowOff>
    </xdr:to>
    <xdr:pic>
      <xdr:nvPicPr>
        <xdr:cNvPr id="4" name="Picture 3">
          <a:extLst>
            <a:ext uri="{FF2B5EF4-FFF2-40B4-BE49-F238E27FC236}">
              <a16:creationId xmlns:a16="http://schemas.microsoft.com/office/drawing/2014/main" id="{37BE4DBE-91F6-9D76-7FA4-31A97DC05E1D}"/>
            </a:ext>
          </a:extLst>
        </xdr:cNvPr>
        <xdr:cNvPicPr>
          <a:picLocks noChangeAspect="1"/>
        </xdr:cNvPicPr>
      </xdr:nvPicPr>
      <xdr:blipFill>
        <a:blip xmlns:r="http://schemas.openxmlformats.org/officeDocument/2006/relationships" r:embed="rId16"/>
        <a:stretch>
          <a:fillRect/>
        </a:stretch>
      </xdr:blipFill>
      <xdr:spPr>
        <a:xfrm>
          <a:off x="10504935" y="5621625"/>
          <a:ext cx="304277" cy="209658"/>
        </a:xfrm>
        <a:prstGeom prst="rect">
          <a:avLst/>
        </a:prstGeom>
      </xdr:spPr>
    </xdr:pic>
    <xdr:clientData/>
  </xdr:twoCellAnchor>
  <xdr:twoCellAnchor editAs="oneCell">
    <xdr:from>
      <xdr:col>7</xdr:col>
      <xdr:colOff>16762</xdr:colOff>
      <xdr:row>24</xdr:row>
      <xdr:rowOff>64788</xdr:rowOff>
    </xdr:from>
    <xdr:to>
      <xdr:col>7</xdr:col>
      <xdr:colOff>555689</xdr:colOff>
      <xdr:row>25</xdr:row>
      <xdr:rowOff>139078</xdr:rowOff>
    </xdr:to>
    <xdr:pic>
      <xdr:nvPicPr>
        <xdr:cNvPr id="5" name="Picture 4">
          <a:extLst>
            <a:ext uri="{FF2B5EF4-FFF2-40B4-BE49-F238E27FC236}">
              <a16:creationId xmlns:a16="http://schemas.microsoft.com/office/drawing/2014/main" id="{9CA37649-13D7-4B4B-2750-820EEFFAAEF9}"/>
            </a:ext>
          </a:extLst>
        </xdr:cNvPr>
        <xdr:cNvPicPr>
          <a:picLocks noChangeAspect="1"/>
        </xdr:cNvPicPr>
      </xdr:nvPicPr>
      <xdr:blipFill>
        <a:blip xmlns:r="http://schemas.openxmlformats.org/officeDocument/2006/relationships" r:embed="rId17"/>
        <a:stretch>
          <a:fillRect/>
        </a:stretch>
      </xdr:blipFill>
      <xdr:spPr>
        <a:xfrm>
          <a:off x="4001934" y="5530167"/>
          <a:ext cx="538927" cy="302014"/>
        </a:xfrm>
        <a:prstGeom prst="rect">
          <a:avLst/>
        </a:prstGeom>
      </xdr:spPr>
    </xdr:pic>
    <xdr:clientData/>
  </xdr:twoCellAnchor>
  <xdr:twoCellAnchor editAs="oneCell">
    <xdr:from>
      <xdr:col>24</xdr:col>
      <xdr:colOff>342597</xdr:colOff>
      <xdr:row>14</xdr:row>
      <xdr:rowOff>116303</xdr:rowOff>
    </xdr:from>
    <xdr:to>
      <xdr:col>25</xdr:col>
      <xdr:colOff>285417</xdr:colOff>
      <xdr:row>16</xdr:row>
      <xdr:rowOff>59735</xdr:rowOff>
    </xdr:to>
    <xdr:pic>
      <xdr:nvPicPr>
        <xdr:cNvPr id="6" name="Picture 5">
          <a:extLst>
            <a:ext uri="{FF2B5EF4-FFF2-40B4-BE49-F238E27FC236}">
              <a16:creationId xmlns:a16="http://schemas.microsoft.com/office/drawing/2014/main" id="{AAA901F4-85CF-F6B0-2635-1CA62D2F5E54}"/>
            </a:ext>
          </a:extLst>
        </xdr:cNvPr>
        <xdr:cNvPicPr>
          <a:picLocks noChangeAspect="1"/>
        </xdr:cNvPicPr>
      </xdr:nvPicPr>
      <xdr:blipFill>
        <a:blip xmlns:r="http://schemas.openxmlformats.org/officeDocument/2006/relationships" r:embed="rId18"/>
        <a:stretch>
          <a:fillRect/>
        </a:stretch>
      </xdr:blipFill>
      <xdr:spPr>
        <a:xfrm>
          <a:off x="14006045" y="3304441"/>
          <a:ext cx="512131" cy="3988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SER" refreshedDate="46245.030362500002" missingItemsLimit="0" createdVersion="8" refreshedVersion="8" minRefreshableVersion="3" recordCount="111" xr:uid="{E0C8303B-D657-40CF-9FF2-A5D28D103B15}">
  <cacheSource type="worksheet">
    <worksheetSource name="Table1_1"/>
  </cacheSource>
  <cacheFields count="24">
    <cacheField name="اسم العميل " numFmtId="0">
      <sharedItems/>
    </cacheField>
    <cacheField name="نوع العميل" numFmtId="0">
      <sharedItems count="2">
        <s v="أفراد"/>
        <s v="شركات"/>
      </sharedItems>
    </cacheField>
    <cacheField name="العنوان" numFmtId="0">
      <sharedItems containsBlank="1"/>
    </cacheField>
    <cacheField name="المحافظة" numFmtId="0">
      <sharedItems count="9">
        <s v="الجيزة"/>
        <s v="الإسكندرية"/>
        <s v="مطروح"/>
        <s v="البحر الأحمر"/>
        <s v="غير معروف"/>
        <s v="القاهرة"/>
        <s v="القليوبية"/>
        <s v="السويس"/>
        <s v="أسيوط"/>
      </sharedItems>
    </cacheField>
    <cacheField name="منصة البيع" numFmtId="0">
      <sharedItems count="8">
        <s v="هومزمارت"/>
        <s v="شيك هومز"/>
        <s v="فيسبوك"/>
        <s v="تاكى"/>
        <s v="اوسكار ريتن"/>
        <s v="السويس"/>
        <s v="منزلى"/>
        <s v="كيمت"/>
      </sharedItems>
    </cacheField>
    <cacheField name="الصنف" numFmtId="0">
      <sharedItems count="5">
        <s v="سرير"/>
        <s v="ترابيزه"/>
        <s v="كنبة"/>
        <s v="ركنة"/>
        <s v="كرسي"/>
      </sharedItems>
    </cacheField>
    <cacheField name="نوع الصنف " numFmtId="0">
      <sharedItems containsBlank="1"/>
    </cacheField>
    <cacheField name="اسم الصنف " numFmtId="0">
      <sharedItems containsBlank="1"/>
    </cacheField>
    <cacheField name="المقاس" numFmtId="0">
      <sharedItems containsBlank="1" containsMixedTypes="1" containsNumber="1" containsInteger="1" minValue="80" maxValue="160"/>
    </cacheField>
    <cacheField name="اللون المعدن" numFmtId="0">
      <sharedItems/>
    </cacheField>
    <cacheField name="لون القماش" numFmtId="0">
      <sharedItems count="14">
        <s v="ابيض"/>
        <s v="اسود"/>
        <s v="ازرق"/>
        <s v="غير محدد"/>
        <s v="رمادى"/>
        <s v="بنفسجى"/>
        <s v="بيج"/>
        <s v="نبيتى"/>
        <s v="رصاصي مشجر"/>
        <s v="بترولى"/>
        <s v="خشب بنى فاتح"/>
        <s v="ابيض في بنى غامق"/>
        <s v="بنى غامق"/>
        <s v="روك ١٠"/>
      </sharedItems>
    </cacheField>
    <cacheField name="المنتج" numFmtId="0">
      <sharedItems containsBlank="1"/>
    </cacheField>
    <cacheField name="الكمية" numFmtId="0">
      <sharedItems containsSemiMixedTypes="0" containsString="0" containsNumber="1" containsInteger="1" minValue="1" maxValue="4"/>
    </cacheField>
    <cacheField name="سعر الوحده" numFmtId="164">
      <sharedItems containsSemiMixedTypes="0" containsString="0" containsNumber="1" minValue="1996.75" maxValue="22000"/>
    </cacheField>
    <cacheField name="سعر البيع " numFmtId="0">
      <sharedItems containsSemiMixedTypes="0" containsString="0" containsNumber="1" minValue="4020" maxValue="22000"/>
    </cacheField>
    <cacheField name="طريقه الدفع" numFmtId="0">
      <sharedItems/>
    </cacheField>
    <cacheField name="مده التسليم(الهدف)" numFmtId="0">
      <sharedItems containsSemiMixedTypes="0" containsString="0" containsNumber="1" containsInteger="1" minValue="0" maxValue="67"/>
    </cacheField>
    <cacheField name="مده التسليم (الفعلى)" numFmtId="0">
      <sharedItems containsSemiMixedTypes="0" containsString="0" containsNumber="1" containsInteger="1" minValue="0" maxValue="59"/>
    </cacheField>
    <cacheField name="التسليم فى الموعد" numFmtId="0">
      <sharedItems containsBlank="1" count="3">
        <m/>
        <s v="تم التسليم في الموعد"/>
        <s v="لم يتم التسليم في الموعد"/>
      </sharedItems>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المسئول عن التسليم" numFmtId="0">
      <sharedItems containsBlank="1"/>
    </cacheField>
    <cacheField name="الحالة" numFmtId="0">
      <sharedItems count="3">
        <s v="تم التسليم"/>
        <s v="مرفوض"/>
        <s v="مرتجع"/>
      </sharedItems>
    </cacheField>
  </cacheFields>
  <extLst>
    <ext xmlns:x14="http://schemas.microsoft.com/office/spreadsheetml/2009/9/main" uri="{725AE2AE-9491-48be-B2B4-4EB974FC3084}">
      <x14:pivotCacheDefinition pivotCacheId="1280469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s v="خالد عبد القوى"/>
    <x v="0"/>
    <s v="العجوزه - الجيزه"/>
    <x v="0"/>
    <x v="0"/>
    <x v="0"/>
    <s v="منطبق"/>
    <m/>
    <m/>
    <s v="غير محدد"/>
    <x v="0"/>
    <s v="سرير منطبق الحديد ابيض والقماش ابيض "/>
    <n v="1"/>
    <n v="10160"/>
    <n v="10160"/>
    <s v="مسبق الدفع"/>
    <n v="0"/>
    <n v="14"/>
    <x v="0"/>
    <d v="2024-07-27T00:00:00"/>
    <m/>
    <d v="2024-08-10T00:00:00"/>
    <s v="تم التسليم عن طريق شركه شحن "/>
    <x v="0"/>
  </r>
  <r>
    <s v="محمود"/>
    <x v="0"/>
    <s v="سموحه - اسكندريه"/>
    <x v="1"/>
    <x v="0"/>
    <x v="0"/>
    <s v="منطبق"/>
    <m/>
    <m/>
    <s v="غير محدد"/>
    <x v="1"/>
    <s v="سرير منطبق اسود والقماش اسود "/>
    <n v="1"/>
    <n v="10160"/>
    <n v="10160"/>
    <s v="كاش"/>
    <n v="0"/>
    <n v="14"/>
    <x v="0"/>
    <d v="2024-07-28T00:00:00"/>
    <m/>
    <d v="2024-08-11T00:00:00"/>
    <s v="تم التسليم عن طريق شركه شحن "/>
    <x v="0"/>
  </r>
  <r>
    <s v="سعيد"/>
    <x v="0"/>
    <s v="سيدى عبد الرحمن - الساحل الشمالى "/>
    <x v="2"/>
    <x v="0"/>
    <x v="0"/>
    <s v="دورين"/>
    <s v="كيفنج"/>
    <n v="90"/>
    <s v="ازرق"/>
    <x v="2"/>
    <s v="سرير كيفينج مقاس 90 لون ازرق "/>
    <n v="1"/>
    <n v="11455"/>
    <n v="11455"/>
    <s v="كاش"/>
    <n v="0"/>
    <n v="0"/>
    <x v="0"/>
    <d v="2024-07-27T00:00:00"/>
    <m/>
    <m/>
    <m/>
    <x v="1"/>
  </r>
  <r>
    <s v="ساندرا"/>
    <x v="0"/>
    <s v="الغردقه "/>
    <x v="3"/>
    <x v="0"/>
    <x v="1"/>
    <m/>
    <m/>
    <m/>
    <s v="غير محدد"/>
    <x v="3"/>
    <s v="ترابيزه قهوه متحركه "/>
    <n v="1"/>
    <n v="8642"/>
    <n v="8642"/>
    <s v="مسبق الدفع"/>
    <n v="13"/>
    <n v="2"/>
    <x v="1"/>
    <d v="2024-08-25T00:00:00"/>
    <d v="2024-09-07T00:00:00"/>
    <d v="2024-08-27T00:00:00"/>
    <s v="تم التسليم عن طريق شركه شحن "/>
    <x v="0"/>
  </r>
  <r>
    <s v="زينا"/>
    <x v="0"/>
    <s v="سيدى عبد الرحمن - الساحل الشمالى "/>
    <x v="2"/>
    <x v="0"/>
    <x v="0"/>
    <s v="دورين"/>
    <s v="نوفال"/>
    <n v="100"/>
    <s v="رمادى"/>
    <x v="4"/>
    <s v="سرير نوفال متر رمادى "/>
    <n v="1"/>
    <n v="12833"/>
    <n v="12833"/>
    <s v="كاش"/>
    <n v="15"/>
    <n v="0"/>
    <x v="0"/>
    <d v="2024-08-16T00:00:00"/>
    <d v="2024-08-31T00:00:00"/>
    <m/>
    <m/>
    <x v="1"/>
  </r>
  <r>
    <s v="شيك هومز"/>
    <x v="1"/>
    <m/>
    <x v="4"/>
    <x v="1"/>
    <x v="2"/>
    <s v="4*1"/>
    <m/>
    <m/>
    <s v="غير محدد"/>
    <x v="4"/>
    <s v="كنبه سرير رمادى "/>
    <n v="1"/>
    <n v="14550"/>
    <n v="14550"/>
    <s v="مسبق الدفع"/>
    <n v="20"/>
    <n v="22"/>
    <x v="2"/>
    <d v="2024-08-14T00:00:00"/>
    <d v="2024-09-03T00:00:00"/>
    <d v="2024-09-05T00:00:00"/>
    <s v="تم التسليم عن طريق شركه شحن "/>
    <x v="0"/>
  </r>
  <r>
    <s v="احمد"/>
    <x v="0"/>
    <s v="التجمع الخامس"/>
    <x v="5"/>
    <x v="2"/>
    <x v="2"/>
    <s v="4*1"/>
    <m/>
    <m/>
    <s v="غير محدد"/>
    <x v="4"/>
    <s v="كنبه سرير رمادى "/>
    <n v="1"/>
    <n v="12000"/>
    <n v="12000"/>
    <s v="كاش"/>
    <n v="3"/>
    <n v="2"/>
    <x v="1"/>
    <d v="2024-08-17T00:00:00"/>
    <d v="2024-08-20T00:00:00"/>
    <d v="2024-08-19T00:00:00"/>
    <s v="تم التسليم عن طريق شركه شحن "/>
    <x v="0"/>
  </r>
  <r>
    <s v="yilmaz"/>
    <x v="0"/>
    <s v="٦ اكتوبر الجيزه "/>
    <x v="0"/>
    <x v="0"/>
    <x v="0"/>
    <s v="فردى"/>
    <m/>
    <m/>
    <s v="غير محدد"/>
    <x v="0"/>
    <s v="سرير فردى ابيض "/>
    <n v="1"/>
    <n v="7228"/>
    <n v="7228"/>
    <s v="مسبق الدفع"/>
    <n v="9"/>
    <n v="16"/>
    <x v="2"/>
    <d v="2024-08-25T00:00:00"/>
    <d v="2024-09-03T00:00:00"/>
    <d v="2024-09-10T00:00:00"/>
    <s v="تم التسليم عن طريق شركه شحن "/>
    <x v="0"/>
  </r>
  <r>
    <s v="تاكي"/>
    <x v="1"/>
    <s v="العباسيه"/>
    <x v="5"/>
    <x v="3"/>
    <x v="3"/>
    <s v="ركنة بسرير"/>
    <m/>
    <m/>
    <s v="غير محدد"/>
    <x v="3"/>
    <s v="ركنه "/>
    <n v="1"/>
    <n v="22000"/>
    <n v="22000"/>
    <s v="كاش"/>
    <n v="13"/>
    <n v="29"/>
    <x v="2"/>
    <d v="2024-08-19T00:00:00"/>
    <d v="2024-09-01T00:00:00"/>
    <d v="2024-09-17T00:00:00"/>
    <m/>
    <x v="0"/>
  </r>
  <r>
    <s v="تاكي"/>
    <x v="1"/>
    <s v="العباسيه"/>
    <x v="5"/>
    <x v="3"/>
    <x v="2"/>
    <s v="سحارة"/>
    <m/>
    <m/>
    <s v="غير محدد"/>
    <x v="3"/>
    <s v="٢ كنبه سحاره بمخدع"/>
    <n v="2"/>
    <n v="8000"/>
    <n v="16000"/>
    <s v="كاش"/>
    <n v="0"/>
    <n v="0"/>
    <x v="0"/>
    <m/>
    <m/>
    <m/>
    <m/>
    <x v="1"/>
  </r>
  <r>
    <s v="تاكي"/>
    <x v="1"/>
    <s v="العباسيه "/>
    <x v="5"/>
    <x v="3"/>
    <x v="2"/>
    <s v="سحارة"/>
    <m/>
    <m/>
    <s v="غير محدد"/>
    <x v="3"/>
    <s v="٢ كنبه سحاره بدون مخدع "/>
    <n v="2"/>
    <n v="3000"/>
    <n v="6000"/>
    <s v="كاش"/>
    <n v="21"/>
    <n v="23"/>
    <x v="2"/>
    <d v="2024-08-25T00:00:00"/>
    <d v="2024-09-15T00:00:00"/>
    <d v="2024-09-17T00:00:00"/>
    <s v="تم التسليم محمود على "/>
    <x v="0"/>
  </r>
  <r>
    <s v="على رشوان"/>
    <x v="0"/>
    <s v="مصر الجديده"/>
    <x v="5"/>
    <x v="0"/>
    <x v="0"/>
    <s v="دورين"/>
    <s v="نوفال"/>
    <n v="80"/>
    <s v="ابيض"/>
    <x v="0"/>
    <s v="سرير نوفال ابيض مقاس ٨٠"/>
    <n v="1"/>
    <n v="10499"/>
    <n v="10499"/>
    <s v="كاش"/>
    <n v="15"/>
    <n v="7"/>
    <x v="1"/>
    <d v="2024-09-01T00:00:00"/>
    <d v="2024-09-16T00:00:00"/>
    <d v="2024-09-08T00:00:00"/>
    <s v="تم التسليم عن طريق شركه شحن "/>
    <x v="0"/>
  </r>
  <r>
    <s v="احمد فخرى"/>
    <x v="0"/>
    <s v="٦ اكتوبر الجيزه "/>
    <x v="0"/>
    <x v="0"/>
    <x v="0"/>
    <s v="فردى"/>
    <s v="نوفال"/>
    <n v="80"/>
    <s v="ابيض"/>
    <x v="0"/>
    <s v="سرير فردى خشب موسكى الحديد ابيض مقاس ٨٠"/>
    <n v="1"/>
    <n v="7295"/>
    <n v="7295"/>
    <s v="كاش"/>
    <n v="9"/>
    <n v="0"/>
    <x v="0"/>
    <d v="2024-09-05T00:00:00"/>
    <d v="2024-09-14T00:00:00"/>
    <m/>
    <m/>
    <x v="1"/>
  </r>
  <r>
    <s v="لينا"/>
    <x v="0"/>
    <s v="المقطم "/>
    <x v="5"/>
    <x v="0"/>
    <x v="1"/>
    <s v="2 ميكانزم"/>
    <m/>
    <m/>
    <s v="غير محدد"/>
    <x v="3"/>
    <s v="ترابيزه قهوه علويه جديده "/>
    <n v="1"/>
    <n v="7849"/>
    <n v="7849"/>
    <s v="مسبق الدفع"/>
    <n v="12"/>
    <n v="21"/>
    <x v="2"/>
    <d v="2024-09-04T00:00:00"/>
    <d v="2024-09-16T00:00:00"/>
    <d v="2024-09-25T00:00:00"/>
    <s v="تم التسليم عن طريق شركه شحن "/>
    <x v="2"/>
  </r>
  <r>
    <s v="فيصل نعيم"/>
    <x v="0"/>
    <s v="التجمع الخامس "/>
    <x v="5"/>
    <x v="4"/>
    <x v="0"/>
    <s v="دورين"/>
    <s v="كيفنج"/>
    <n v="120"/>
    <s v="اسود"/>
    <x v="1"/>
    <s v="٢ سرير كيفنج ١٢٠ اسود "/>
    <n v="2"/>
    <n v="3090"/>
    <n v="6180"/>
    <s v="كاش"/>
    <n v="13"/>
    <n v="12"/>
    <x v="1"/>
    <d v="2024-09-03T00:00:00"/>
    <d v="2024-09-16T00:00:00"/>
    <d v="2024-09-15T00:00:00"/>
    <s v="تم التسليم محمود على "/>
    <x v="0"/>
  </r>
  <r>
    <s v="ellho elkafy"/>
    <x v="0"/>
    <s v="مدينه نصر "/>
    <x v="5"/>
    <x v="0"/>
    <x v="0"/>
    <s v="دورين"/>
    <s v="كينج"/>
    <n v="80"/>
    <s v="ابيض"/>
    <x v="0"/>
    <s v="سرير كينج ابيض مقاس ٨٠ التصميم الجديد "/>
    <n v="1"/>
    <n v="11199"/>
    <n v="11199"/>
    <s v="كاش"/>
    <n v="14"/>
    <n v="0"/>
    <x v="0"/>
    <d v="2024-09-04T00:00:00"/>
    <d v="2024-09-18T00:00:00"/>
    <m/>
    <m/>
    <x v="1"/>
  </r>
  <r>
    <s v="احمد"/>
    <x v="0"/>
    <s v="القاهره الجديده"/>
    <x v="5"/>
    <x v="0"/>
    <x v="0"/>
    <s v="فردى"/>
    <s v="فورجينا"/>
    <n v="80"/>
    <s v="ابيض"/>
    <x v="0"/>
    <s v="٤سرير فردى خشب موسكى الحديد ابيض مقاس ٨٠"/>
    <n v="4"/>
    <n v="1996.75"/>
    <n v="7987"/>
    <s v="مسبق الدفع"/>
    <n v="10"/>
    <n v="15"/>
    <x v="2"/>
    <d v="2024-09-06T00:00:00"/>
    <d v="2024-09-16T00:00:00"/>
    <d v="2024-09-21T00:00:00"/>
    <s v="تم التسليم محمود على "/>
    <x v="0"/>
  </r>
  <r>
    <s v="تاكي"/>
    <x v="1"/>
    <s v="العباسيه"/>
    <x v="5"/>
    <x v="3"/>
    <x v="4"/>
    <s v="فنيسيا"/>
    <m/>
    <m/>
    <s v="غير محدد"/>
    <x v="3"/>
    <s v="٢ فوتيه فنيسيا "/>
    <n v="2"/>
    <n v="4650"/>
    <n v="9300"/>
    <s v="كاش"/>
    <n v="11"/>
    <n v="13"/>
    <x v="2"/>
    <d v="2024-09-04T00:00:00"/>
    <d v="2024-09-15T00:00:00"/>
    <d v="2024-09-17T00:00:00"/>
    <s v="تم التسليم محمود على "/>
    <x v="0"/>
  </r>
  <r>
    <s v="صفاء"/>
    <x v="0"/>
    <s v="المعادى"/>
    <x v="5"/>
    <x v="0"/>
    <x v="1"/>
    <s v="2 ميكانزم"/>
    <m/>
    <m/>
    <s v="غير محدد"/>
    <x v="3"/>
    <s v="ترابيزه قهوه علويه جديده "/>
    <n v="1"/>
    <n v="8849"/>
    <n v="8849"/>
    <s v="مسبق الدفع"/>
    <n v="43"/>
    <n v="0"/>
    <x v="0"/>
    <d v="2024-09-03T00:00:00"/>
    <d v="2024-10-16T00:00:00"/>
    <m/>
    <m/>
    <x v="1"/>
  </r>
  <r>
    <s v="حسن حازم"/>
    <x v="0"/>
    <s v="٦ اكتوبر الجيزه "/>
    <x v="0"/>
    <x v="0"/>
    <x v="0"/>
    <s v="فردى"/>
    <s v="اسبانى"/>
    <n v="120"/>
    <s v="ابيض"/>
    <x v="0"/>
    <s v="سرير اسبانى ابيض ١٢٠"/>
    <n v="1"/>
    <n v="10987"/>
    <n v="10987"/>
    <s v="مسبق الدفع"/>
    <n v="8"/>
    <n v="12"/>
    <x v="2"/>
    <d v="2024-09-09T00:00:00"/>
    <d v="2024-09-17T00:00:00"/>
    <d v="2024-09-21T00:00:00"/>
    <s v="تم التسليم محمود على "/>
    <x v="0"/>
  </r>
  <r>
    <s v="شيك هومز"/>
    <x v="1"/>
    <m/>
    <x v="4"/>
    <x v="1"/>
    <x v="0"/>
    <s v="دورين"/>
    <s v="كينج"/>
    <n v="100"/>
    <s v="ابيض"/>
    <x v="0"/>
    <s v="سرير كينج ابيض "/>
    <n v="1"/>
    <n v="9208"/>
    <n v="9208"/>
    <s v="كاش"/>
    <n v="18"/>
    <n v="20"/>
    <x v="2"/>
    <d v="2024-09-01T00:00:00"/>
    <d v="2024-09-19T00:00:00"/>
    <d v="2024-09-21T00:00:00"/>
    <s v="تم التسليم محمود على "/>
    <x v="0"/>
  </r>
  <r>
    <s v="شيك هومز"/>
    <x v="1"/>
    <m/>
    <x v="4"/>
    <x v="1"/>
    <x v="0"/>
    <s v="دورين"/>
    <s v="كينج"/>
    <n v="100"/>
    <s v="اسود"/>
    <x v="1"/>
    <s v="سرير كينج اسود "/>
    <n v="1"/>
    <n v="9208"/>
    <n v="9208"/>
    <s v="كاش"/>
    <n v="18"/>
    <n v="20"/>
    <x v="2"/>
    <d v="2024-09-01T00:00:00"/>
    <d v="2024-09-19T00:00:00"/>
    <d v="2024-09-21T00:00:00"/>
    <s v="تم التسليم محمود على "/>
    <x v="0"/>
  </r>
  <r>
    <s v="اوسكار راتن"/>
    <x v="1"/>
    <s v="مخزن اوسكار في القناطر "/>
    <x v="6"/>
    <x v="4"/>
    <x v="0"/>
    <s v="فردى"/>
    <s v="فورجينا"/>
    <n v="120"/>
    <s v="ابيض"/>
    <x v="0"/>
    <s v="٢ سريرفورجينا خشب موسكى ابيض مقاس ١٢٠"/>
    <n v="2"/>
    <n v="2010"/>
    <n v="4020"/>
    <s v="حساب شركه"/>
    <n v="9"/>
    <n v="10"/>
    <x v="2"/>
    <d v="2024-09-12T00:00:00"/>
    <d v="2024-09-21T00:00:00"/>
    <d v="2024-09-22T00:00:00"/>
    <s v="تم التسليم محمود على "/>
    <x v="0"/>
  </r>
  <r>
    <s v="اوسكار راتن"/>
    <x v="1"/>
    <s v="مخزن اوسكار في القناطر "/>
    <x v="6"/>
    <x v="4"/>
    <x v="0"/>
    <s v="فردى"/>
    <s v="ارفيل"/>
    <n v="120"/>
    <s v="اسود"/>
    <x v="1"/>
    <s v="٢ سرير ارفيل ١٢٠ اسود "/>
    <n v="2"/>
    <n v="2010"/>
    <n v="4020"/>
    <s v="مسبق الدفع"/>
    <n v="9"/>
    <n v="10"/>
    <x v="2"/>
    <d v="2024-09-12T00:00:00"/>
    <d v="2024-09-21T00:00:00"/>
    <d v="2024-09-22T00:00:00"/>
    <s v="تم التسليم محمود على "/>
    <x v="0"/>
  </r>
  <r>
    <s v="صفاء الحكيم"/>
    <x v="0"/>
    <s v="العين السخنه"/>
    <x v="7"/>
    <x v="0"/>
    <x v="0"/>
    <s v="منطبق"/>
    <m/>
    <m/>
    <s v="اسود"/>
    <x v="1"/>
    <s v="سرير منطببق اسود وقماش اسود"/>
    <n v="1"/>
    <n v="9399"/>
    <n v="9399"/>
    <s v="مسبق الدفع"/>
    <n v="8"/>
    <n v="0"/>
    <x v="0"/>
    <d v="2024-09-14T00:00:00"/>
    <d v="2024-09-22T00:00:00"/>
    <m/>
    <m/>
    <x v="1"/>
  </r>
  <r>
    <s v="يوسف شناوى"/>
    <x v="0"/>
    <s v="الابراهيميه . الإسكندرية "/>
    <x v="1"/>
    <x v="0"/>
    <x v="1"/>
    <s v="رف سحاب"/>
    <m/>
    <m/>
    <s v="غير محدد"/>
    <x v="3"/>
    <s v="ترابيزه قهوه علويه برف سحاب "/>
    <n v="1"/>
    <n v="8349"/>
    <n v="8349"/>
    <s v="مسبق الدفع"/>
    <n v="8"/>
    <n v="10"/>
    <x v="2"/>
    <d v="2024-09-14T00:00:00"/>
    <d v="2024-09-22T00:00:00"/>
    <d v="2024-09-24T00:00:00"/>
    <s v="تم التسليم عن طريق شركه شحن "/>
    <x v="0"/>
  </r>
  <r>
    <s v="حاتم العيسوي"/>
    <x v="0"/>
    <s v="٦ اكتوبر الجيزه "/>
    <x v="0"/>
    <x v="0"/>
    <x v="0"/>
    <s v="منطبق"/>
    <m/>
    <m/>
    <s v="اسود"/>
    <x v="1"/>
    <s v="سرير منطبق اسود حديد وقماش"/>
    <n v="1"/>
    <n v="9399"/>
    <n v="9399"/>
    <s v="مسبق الدفع"/>
    <n v="11"/>
    <n v="17"/>
    <x v="2"/>
    <d v="2024-09-13T00:00:00"/>
    <d v="2024-09-24T00:00:00"/>
    <d v="2024-09-30T00:00:00"/>
    <s v="تم التسليم عن طريق شركه شحن "/>
    <x v="0"/>
  </r>
  <r>
    <s v="رنا"/>
    <x v="0"/>
    <s v="القطاميه "/>
    <x v="5"/>
    <x v="0"/>
    <x v="1"/>
    <s v="2 ميكانزم"/>
    <m/>
    <m/>
    <s v="غير محدد"/>
    <x v="3"/>
    <s v="ترابيزه قهوه علويه جديده "/>
    <n v="1"/>
    <n v="7849"/>
    <n v="7849"/>
    <s v="كاش"/>
    <n v="14"/>
    <n v="0"/>
    <x v="0"/>
    <d v="2024-09-12T00:00:00"/>
    <d v="2024-09-26T00:00:00"/>
    <m/>
    <s v="تم التسليم عن طريق شركه شحن "/>
    <x v="0"/>
  </r>
  <r>
    <s v="عبير نور الدين"/>
    <x v="0"/>
    <s v="١٨ شارع البحيري بولاق الدكرور الجيزه "/>
    <x v="0"/>
    <x v="2"/>
    <x v="0"/>
    <s v="ثلاثه ادوار"/>
    <s v="كيفنج"/>
    <n v="100"/>
    <s v="اسود"/>
    <x v="1"/>
    <s v="سرير ٣ ادورا اسود مقاس ١٠٠ "/>
    <n v="1"/>
    <n v="9450"/>
    <n v="9450"/>
    <s v="كاش"/>
    <n v="14"/>
    <n v="0"/>
    <x v="0"/>
    <d v="2024-09-12T00:00:00"/>
    <d v="2024-09-26T00:00:00"/>
    <m/>
    <m/>
    <x v="1"/>
  </r>
  <r>
    <s v="اسراء ابو العنين"/>
    <x v="0"/>
    <s v="القاهره الجديده"/>
    <x v="5"/>
    <x v="0"/>
    <x v="0"/>
    <s v="فردى"/>
    <s v="اسبانى"/>
    <n v="120"/>
    <s v="اسود"/>
    <x v="1"/>
    <s v="سرير اسبانى اسود مقاس ١٢٠"/>
    <n v="1"/>
    <n v="7460"/>
    <n v="7460"/>
    <s v="مسبق الدفع"/>
    <n v="13"/>
    <n v="20"/>
    <x v="2"/>
    <d v="2024-09-13T00:00:00"/>
    <d v="2024-09-26T00:00:00"/>
    <d v="2024-10-03T00:00:00"/>
    <s v="تم التسليم محمود على "/>
    <x v="0"/>
  </r>
  <r>
    <s v="وائل صادق"/>
    <x v="0"/>
    <s v="القاهره الجديده"/>
    <x v="5"/>
    <x v="0"/>
    <x v="0"/>
    <s v="فردى"/>
    <s v="كوين "/>
    <n v="140"/>
    <s v="دهبي"/>
    <x v="4"/>
    <s v="سرير كوين مقاس ١٤٠ دهبي ورمادى "/>
    <n v="1"/>
    <n v="9528"/>
    <n v="9528"/>
    <s v="مسبق الدفع"/>
    <n v="13"/>
    <n v="20"/>
    <x v="2"/>
    <d v="2024-09-13T00:00:00"/>
    <d v="2024-09-26T00:00:00"/>
    <d v="2024-10-03T00:00:00"/>
    <s v="تم التسليم محمود على "/>
    <x v="0"/>
  </r>
  <r>
    <s v="حسن مغرب"/>
    <x v="0"/>
    <s v="٦ اكتوبر الجيزه "/>
    <x v="0"/>
    <x v="0"/>
    <x v="0"/>
    <s v="دورين"/>
    <s v="كيفنج"/>
    <n v="120"/>
    <s v="رمادى"/>
    <x v="4"/>
    <s v="سرير كيفنج ١٢٠ رمادى "/>
    <n v="1"/>
    <n v="12999"/>
    <n v="12999"/>
    <s v="مسبق الدفع"/>
    <n v="13"/>
    <n v="18"/>
    <x v="2"/>
    <d v="2024-09-14T00:00:00"/>
    <d v="2024-09-27T00:00:00"/>
    <d v="2024-10-02T00:00:00"/>
    <s v="تم التسليم محمود على "/>
    <x v="0"/>
  </r>
  <r>
    <s v="على السيد"/>
    <x v="0"/>
    <s v="الشروق القاهره "/>
    <x v="5"/>
    <x v="0"/>
    <x v="0"/>
    <s v="دورين"/>
    <s v="نوفال"/>
    <n v="90"/>
    <s v="اسود"/>
    <x v="1"/>
    <s v="سرير نوفال  ٩٠ اسود "/>
    <n v="1"/>
    <n v="5999"/>
    <n v="5999"/>
    <s v="مسبق الدفع"/>
    <n v="17"/>
    <n v="0"/>
    <x v="0"/>
    <d v="2024-09-12T00:00:00"/>
    <d v="2024-09-29T00:00:00"/>
    <m/>
    <m/>
    <x v="1"/>
  </r>
  <r>
    <s v="هشام بسيونى"/>
    <x v="0"/>
    <s v="حدايق الاهرام "/>
    <x v="0"/>
    <x v="0"/>
    <x v="0"/>
    <s v="دورين"/>
    <s v="كيفنج"/>
    <n v="100"/>
    <s v="اسود"/>
    <x v="1"/>
    <s v="            ٢ سرير كيفنج ١٠٠ اسود "/>
    <n v="2"/>
    <n v="5974.5"/>
    <n v="11949"/>
    <s v="كاش"/>
    <n v="17"/>
    <n v="20"/>
    <x v="2"/>
    <d v="2024-09-12T00:00:00"/>
    <d v="2024-09-29T00:00:00"/>
    <d v="2024-10-02T00:00:00"/>
    <s v="تم التسليم محمود على "/>
    <x v="0"/>
  </r>
  <r>
    <s v="احمد"/>
    <x v="0"/>
    <s v="الشروق"/>
    <x v="5"/>
    <x v="0"/>
    <x v="0"/>
    <s v="ثلاثه ادوار"/>
    <s v="كيفنج"/>
    <n v="80"/>
    <s v="ابيض"/>
    <x v="0"/>
    <s v="سرير ٣ ادوار ابيض مقاس ٨٠ ابيض "/>
    <n v="1"/>
    <n v="16599"/>
    <n v="16599"/>
    <s v="مسبق الدفع"/>
    <n v="17"/>
    <n v="20"/>
    <x v="2"/>
    <d v="2024-09-13T00:00:00"/>
    <d v="2024-09-30T00:00:00"/>
    <d v="2024-10-03T00:00:00"/>
    <s v="تم التسليم محمود على "/>
    <x v="0"/>
  </r>
  <r>
    <s v="ساره وجيه"/>
    <x v="0"/>
    <s v="الغردقه "/>
    <x v="3"/>
    <x v="0"/>
    <x v="0"/>
    <s v="دورين"/>
    <s v="كيفنج"/>
    <n v="80"/>
    <s v="ابيض"/>
    <x v="0"/>
    <s v="سرير كيفنج دورين مقاس ٨٠ ابيض "/>
    <n v="1"/>
    <n v="10999"/>
    <n v="10999"/>
    <s v="مسبق الدفع"/>
    <n v="17"/>
    <n v="33"/>
    <x v="2"/>
    <d v="2024-09-13T00:00:00"/>
    <d v="2024-09-30T00:00:00"/>
    <d v="2024-10-16T00:00:00"/>
    <s v="تم التسليم عن طريق شركه شحن "/>
    <x v="0"/>
  </r>
  <r>
    <s v="مها"/>
    <x v="0"/>
    <s v="لافيستا العين السخنه "/>
    <x v="7"/>
    <x v="0"/>
    <x v="0"/>
    <s v="دورين"/>
    <s v="كيفنج"/>
    <n v="140"/>
    <s v="ازرق"/>
    <x v="2"/>
    <s v="سرير استيل ازرق مقاس ١٤٠"/>
    <n v="1"/>
    <n v="13099"/>
    <n v="13099"/>
    <s v="مسبق الدفع"/>
    <n v="17"/>
    <n v="20"/>
    <x v="2"/>
    <d v="2024-09-13T00:00:00"/>
    <d v="2024-09-30T00:00:00"/>
    <d v="2024-10-03T00:00:00"/>
    <s v="تم التسليم عن طريق شركه شحن "/>
    <x v="0"/>
  </r>
  <r>
    <s v="بسام الشربينى"/>
    <x v="0"/>
    <s v="٦ اكتوبر الجيزه "/>
    <x v="0"/>
    <x v="0"/>
    <x v="0"/>
    <s v="دورين"/>
    <s v="كينج"/>
    <n v="120"/>
    <s v="بنفسجى"/>
    <x v="5"/>
    <s v="سرير كينج ١٢٠ بنفسجى "/>
    <n v="1"/>
    <n v="13849"/>
    <n v="13849"/>
    <s v="مسبق الدفع"/>
    <n v="17"/>
    <n v="37"/>
    <x v="2"/>
    <d v="2024-09-13T00:00:00"/>
    <d v="2024-09-30T00:00:00"/>
    <d v="2024-10-20T00:00:00"/>
    <s v="تم التسليم محمود على "/>
    <x v="0"/>
  </r>
  <r>
    <s v="هبه عبد الفتاح"/>
    <x v="0"/>
    <s v="القاهره الجديده "/>
    <x v="5"/>
    <x v="0"/>
    <x v="2"/>
    <s v="4*1"/>
    <m/>
    <m/>
    <s v="اسود"/>
    <x v="3"/>
    <s v="كنبه سرير ٤ حركه "/>
    <n v="1"/>
    <n v="21999"/>
    <n v="21999"/>
    <s v="مسبق الدفع"/>
    <n v="17"/>
    <n v="0"/>
    <x v="0"/>
    <d v="2024-09-13T00:00:00"/>
    <d v="2024-09-30T00:00:00"/>
    <m/>
    <s v="تم التسليم محمود على "/>
    <x v="0"/>
  </r>
  <r>
    <s v="اسراء ابراهيم"/>
    <x v="0"/>
    <s v="٦ اكتوبر الجيزه "/>
    <x v="0"/>
    <x v="0"/>
    <x v="0"/>
    <s v="دورين"/>
    <s v="كيفنج"/>
    <n v="80"/>
    <s v="ابيض"/>
    <x v="0"/>
    <s v="سرير كيفنج دورين مقاس ٨٠ ابيض "/>
    <n v="1"/>
    <n v="10999"/>
    <n v="10999"/>
    <s v="مسبق الدفع"/>
    <n v="17"/>
    <n v="32"/>
    <x v="2"/>
    <d v="2024-09-13T00:00:00"/>
    <d v="2024-09-30T00:00:00"/>
    <d v="2024-10-15T00:00:00"/>
    <s v="تم التسليم محمود على "/>
    <x v="0"/>
  </r>
  <r>
    <s v="طارق كمال"/>
    <x v="0"/>
    <s v="المعادى"/>
    <x v="5"/>
    <x v="0"/>
    <x v="0"/>
    <s v="ثلاثه ادوار"/>
    <s v="كيفنج"/>
    <n v="90"/>
    <s v="اسود"/>
    <x v="1"/>
    <s v="سرير ٣ ادوار اسود مقاس ٩٠ "/>
    <n v="1"/>
    <n v="17249"/>
    <n v="17249"/>
    <s v="مسبق الدفع"/>
    <n v="17"/>
    <n v="21"/>
    <x v="2"/>
    <d v="2024-09-13T00:00:00"/>
    <d v="2024-09-30T00:00:00"/>
    <d v="2024-10-04T00:00:00"/>
    <s v="تم التسليم محمود على "/>
    <x v="0"/>
  </r>
  <r>
    <s v="ديفد بهجت"/>
    <x v="0"/>
    <s v="فيصل الجيزه"/>
    <x v="0"/>
    <x v="0"/>
    <x v="1"/>
    <s v="2 ميكانزم"/>
    <m/>
    <m/>
    <s v="غير محدد"/>
    <x v="3"/>
    <s v="تربيزه قهوه ٢ رافع"/>
    <n v="1"/>
    <n v="8349"/>
    <n v="8349"/>
    <s v="مسبق الدفع"/>
    <n v="32"/>
    <n v="37"/>
    <x v="2"/>
    <d v="2024-09-14T00:00:00"/>
    <d v="2024-10-16T00:00:00"/>
    <d v="2024-10-21T00:00:00"/>
    <s v="تم التسليم محمود على "/>
    <x v="0"/>
  </r>
  <r>
    <s v="اياد"/>
    <x v="0"/>
    <s v="المقطم "/>
    <x v="5"/>
    <x v="0"/>
    <x v="1"/>
    <s v="بمكتبة"/>
    <m/>
    <m/>
    <s v="غير محدد"/>
    <x v="3"/>
    <s v="ترابيزه قهوه متحركه "/>
    <n v="1"/>
    <n v="7849"/>
    <n v="7849"/>
    <s v="مسبق الدفع"/>
    <n v="45"/>
    <n v="46"/>
    <x v="2"/>
    <d v="2024-09-14T00:00:00"/>
    <d v="2024-10-29T00:00:00"/>
    <d v="2024-10-30T00:00:00"/>
    <s v="تم التسليم محمود على "/>
    <x v="0"/>
  </r>
  <r>
    <s v="ميار خورشد"/>
    <x v="0"/>
    <s v="٦ اكتوبر الجيزه "/>
    <x v="0"/>
    <x v="0"/>
    <x v="0"/>
    <s v="منطبق"/>
    <m/>
    <m/>
    <s v="اسود"/>
    <x v="1"/>
    <s v="سرير منطبق اسود حديد ومعدن "/>
    <n v="1"/>
    <n v="9399"/>
    <n v="9399"/>
    <s v="مسبق الدفع"/>
    <n v="45"/>
    <n v="31"/>
    <x v="1"/>
    <d v="2024-09-14T00:00:00"/>
    <d v="2024-10-29T00:00:00"/>
    <d v="2024-10-15T00:00:00"/>
    <s v="تم التسليم محمود على "/>
    <x v="0"/>
  </r>
  <r>
    <s v="عبد الله سيد"/>
    <x v="0"/>
    <s v="الشيخ زايد ٦ اكتوبر "/>
    <x v="0"/>
    <x v="0"/>
    <x v="0"/>
    <s v="فردى"/>
    <s v="اسبانى"/>
    <n v="140"/>
    <s v="اسود"/>
    <x v="6"/>
    <s v="سرير اسبانى  ١٤٠ اسود وبيج "/>
    <n v="1"/>
    <n v="11817"/>
    <n v="11817"/>
    <s v="مسبق الدفع"/>
    <n v="45"/>
    <n v="31"/>
    <x v="1"/>
    <d v="2024-09-14T00:00:00"/>
    <d v="2024-10-29T00:00:00"/>
    <d v="2024-10-15T00:00:00"/>
    <s v="تم التسليم محمود على "/>
    <x v="0"/>
  </r>
  <r>
    <s v="كينج سونا"/>
    <x v="0"/>
    <s v="الشروق"/>
    <x v="5"/>
    <x v="0"/>
    <x v="1"/>
    <s v="رف سحاب"/>
    <m/>
    <m/>
    <s v="غير محدد"/>
    <x v="3"/>
    <s v="تربيزه قهوه مرتفعه برف سحاب "/>
    <n v="1"/>
    <n v="8349"/>
    <n v="8349"/>
    <s v="مسبق الدفع"/>
    <n v="45"/>
    <n v="35"/>
    <x v="1"/>
    <d v="2024-09-14T00:00:00"/>
    <d v="2024-10-29T00:00:00"/>
    <d v="2024-10-19T00:00:00"/>
    <s v="تم التسليم محمود على "/>
    <x v="0"/>
  </r>
  <r>
    <s v="احمد خالد"/>
    <x v="0"/>
    <s v="الرحاب"/>
    <x v="5"/>
    <x v="0"/>
    <x v="0"/>
    <s v="فردى"/>
    <s v="فورجينا"/>
    <n v="120"/>
    <s v="ابيض"/>
    <x v="0"/>
    <s v=" ٢. سرير فورجينا ابيض مقاس ١٢٠"/>
    <n v="2"/>
    <n v="8943"/>
    <n v="17886"/>
    <s v="مسبق الدفع"/>
    <n v="45"/>
    <n v="0"/>
    <x v="0"/>
    <d v="2024-09-14T00:00:00"/>
    <d v="2024-10-29T00:00:00"/>
    <m/>
    <m/>
    <x v="1"/>
  </r>
  <r>
    <s v="ساره"/>
    <x v="0"/>
    <s v="القاهره الجديده"/>
    <x v="5"/>
    <x v="0"/>
    <x v="0"/>
    <s v="فردى"/>
    <s v="اسبانى"/>
    <n v="120"/>
    <s v="ابيض"/>
    <x v="0"/>
    <s v="   ٢. سرير اسبانى ابيض ١٢٠"/>
    <n v="2"/>
    <n v="5493.5"/>
    <n v="10987"/>
    <s v="مسبق الدفع"/>
    <n v="45"/>
    <n v="29"/>
    <x v="1"/>
    <d v="2024-09-14T00:00:00"/>
    <d v="2024-10-29T00:00:00"/>
    <d v="2024-10-13T00:00:00"/>
    <s v="تم التسليم محمود على "/>
    <x v="0"/>
  </r>
  <r>
    <s v="احمد ايمن"/>
    <x v="0"/>
    <s v="العبور"/>
    <x v="6"/>
    <x v="0"/>
    <x v="1"/>
    <s v="2 ميكانزم"/>
    <m/>
    <m/>
    <s v="غير محدد"/>
    <x v="3"/>
    <s v="ترابيزه قهوه علويه جديده "/>
    <n v="1"/>
    <n v="10319"/>
    <n v="10319"/>
    <s v="مسبق الدفع"/>
    <n v="45"/>
    <n v="35"/>
    <x v="1"/>
    <d v="2024-09-14T00:00:00"/>
    <d v="2024-10-29T00:00:00"/>
    <d v="2024-10-19T00:00:00"/>
    <s v="تم التسليم محمود على "/>
    <x v="0"/>
  </r>
  <r>
    <s v="مصطفي غنيم"/>
    <x v="0"/>
    <s v="اسيوط "/>
    <x v="8"/>
    <x v="0"/>
    <x v="0"/>
    <s v="دورين"/>
    <s v="كيفنج"/>
    <n v="120"/>
    <s v="رمادى"/>
    <x v="4"/>
    <s v="سرير كيفنج دورين مقاس ١٢٠ رمادى "/>
    <n v="1"/>
    <n v="12999"/>
    <n v="12999"/>
    <s v="مسبق الدفع"/>
    <n v="67"/>
    <n v="33"/>
    <x v="1"/>
    <d v="2024-09-14T00:00:00"/>
    <d v="2024-11-20T00:00:00"/>
    <d v="2024-10-17T00:00:00"/>
    <s v="تم التسليم عن طريق شركه شحن "/>
    <x v="0"/>
  </r>
  <r>
    <s v="حسام عبدون"/>
    <x v="0"/>
    <s v="الغردقه"/>
    <x v="3"/>
    <x v="0"/>
    <x v="2"/>
    <s v="4*1"/>
    <m/>
    <m/>
    <s v="اسود"/>
    <x v="3"/>
    <s v="كنبه سرير ٤ حركه "/>
    <n v="1"/>
    <n v="21999"/>
    <n v="21999"/>
    <s v="مسبق الدفع"/>
    <n v="67"/>
    <n v="0"/>
    <x v="0"/>
    <d v="2024-09-14T00:00:00"/>
    <d v="2024-11-20T00:00:00"/>
    <m/>
    <m/>
    <x v="1"/>
  </r>
  <r>
    <s v="رامى"/>
    <x v="0"/>
    <s v="الشروق"/>
    <x v="5"/>
    <x v="0"/>
    <x v="0"/>
    <s v="دورين"/>
    <s v="نوفال"/>
    <n v="100"/>
    <s v="رمادى"/>
    <x v="4"/>
    <s v="سرير نوفال ١٠٠ رمادى "/>
    <n v="1"/>
    <n v="12399"/>
    <n v="12399"/>
    <s v="مسبق الدفع"/>
    <n v="67"/>
    <n v="17"/>
    <x v="1"/>
    <d v="2024-09-14T00:00:00"/>
    <d v="2024-11-20T00:00:00"/>
    <d v="2024-10-01T00:00:00"/>
    <s v="تم التسليم عن طريق شركه شحن "/>
    <x v="0"/>
  </r>
  <r>
    <s v="رحاب"/>
    <x v="0"/>
    <s v="القاهره الجديده"/>
    <x v="5"/>
    <x v="0"/>
    <x v="2"/>
    <s v="4*1"/>
    <m/>
    <m/>
    <s v="اسود"/>
    <x v="3"/>
    <s v="كنبه سرير ٤ حركه "/>
    <n v="1"/>
    <n v="21999"/>
    <n v="21999"/>
    <s v="مسبق الدفع"/>
    <n v="67"/>
    <n v="25"/>
    <x v="1"/>
    <d v="2024-09-14T00:00:00"/>
    <d v="2024-11-20T00:00:00"/>
    <d v="2024-10-09T00:00:00"/>
    <s v="تم التسليم محمود على "/>
    <x v="0"/>
  </r>
  <r>
    <s v="فؤاد المنسي"/>
    <x v="0"/>
    <s v="المقطم "/>
    <x v="5"/>
    <x v="0"/>
    <x v="0"/>
    <s v="دورين"/>
    <s v="نوفال"/>
    <n v="80"/>
    <s v="ابيض"/>
    <x v="0"/>
    <s v="سرير نوفال مقاس ٨٠ ابيض "/>
    <n v="1"/>
    <n v="10999"/>
    <n v="10999"/>
    <s v="مسبق الدفع"/>
    <n v="67"/>
    <n v="32"/>
    <x v="1"/>
    <d v="2024-09-14T00:00:00"/>
    <d v="2024-11-20T00:00:00"/>
    <d v="2024-10-16T00:00:00"/>
    <s v="تم التسليم محمود على "/>
    <x v="0"/>
  </r>
  <r>
    <s v="mohannad"/>
    <x v="0"/>
    <s v="EL-Maadi"/>
    <x v="5"/>
    <x v="0"/>
    <x v="0"/>
    <s v="دورين"/>
    <s v="كيفنج"/>
    <n v="80"/>
    <s v="ابيض"/>
    <x v="3"/>
    <m/>
    <n v="1"/>
    <n v="10999"/>
    <n v="10999"/>
    <s v="مسبق الدفع"/>
    <n v="66"/>
    <n v="31"/>
    <x v="1"/>
    <d v="2024-09-15T00:00:00"/>
    <d v="2024-11-20T00:00:00"/>
    <d v="2024-10-16T00:00:00"/>
    <s v="تم التسليم محمود على "/>
    <x v="0"/>
  </r>
  <r>
    <s v="Mohamed Ayman"/>
    <x v="0"/>
    <s v="Madinet Badr"/>
    <x v="5"/>
    <x v="0"/>
    <x v="2"/>
    <s v="4*1"/>
    <m/>
    <m/>
    <s v="اسود"/>
    <x v="4"/>
    <m/>
    <n v="1"/>
    <n v="21999"/>
    <n v="21999"/>
    <s v="مسبق الدفع"/>
    <n v="66"/>
    <n v="34"/>
    <x v="1"/>
    <d v="2024-09-15T00:00:00"/>
    <d v="2024-11-20T00:00:00"/>
    <d v="2024-10-19T00:00:00"/>
    <s v="تم التسليم محمود على "/>
    <x v="0"/>
  </r>
  <r>
    <s v="اسامه"/>
    <x v="0"/>
    <s v="العين السخنه"/>
    <x v="7"/>
    <x v="0"/>
    <x v="1"/>
    <s v="2 ميكانزم"/>
    <m/>
    <m/>
    <s v="غير محدد"/>
    <x v="3"/>
    <m/>
    <n v="1"/>
    <n v="7849"/>
    <n v="7849"/>
    <s v="كاش"/>
    <n v="44"/>
    <n v="59"/>
    <x v="2"/>
    <d v="2024-09-16T00:00:00"/>
    <d v="2024-10-30T00:00:00"/>
    <d v="2024-11-14T00:00:00"/>
    <s v="تم التسليم عن طريق شركه شحن "/>
    <x v="0"/>
  </r>
  <r>
    <s v="اوسكار راتن"/>
    <x v="1"/>
    <s v="المخزن ابو الغيط "/>
    <x v="6"/>
    <x v="4"/>
    <x v="0"/>
    <s v="دورين"/>
    <s v="كيفنج"/>
    <n v="80"/>
    <s v="ابيض"/>
    <x v="3"/>
    <m/>
    <n v="1"/>
    <n v="5074"/>
    <n v="5074"/>
    <s v="حساب شركه"/>
    <n v="14"/>
    <n v="21"/>
    <x v="2"/>
    <d v="2024-09-21T00:00:00"/>
    <d v="2024-10-05T00:00:00"/>
    <d v="2024-10-12T00:00:00"/>
    <s v="تم التسليم محمود على "/>
    <x v="0"/>
  </r>
  <r>
    <s v="تاكي"/>
    <x v="1"/>
    <s v="العباسيه"/>
    <x v="5"/>
    <x v="3"/>
    <x v="0"/>
    <s v="دورين"/>
    <s v="كينج"/>
    <n v="100"/>
    <s v="اسود وبنى"/>
    <x v="3"/>
    <m/>
    <n v="1"/>
    <n v="6250"/>
    <n v="6250"/>
    <s v="حساب شركه"/>
    <n v="15"/>
    <n v="24"/>
    <x v="2"/>
    <d v="2024-09-23T00:00:00"/>
    <d v="2024-10-08T00:00:00"/>
    <d v="2024-10-17T00:00:00"/>
    <s v="تم التسليم محمود على "/>
    <x v="0"/>
  </r>
  <r>
    <s v="ولاء بدوى"/>
    <x v="0"/>
    <s v="العباسيه"/>
    <x v="5"/>
    <x v="0"/>
    <x v="0"/>
    <s v="فردى"/>
    <s v="فورجينا"/>
    <n v="120"/>
    <s v="ابيض"/>
    <x v="3"/>
    <m/>
    <n v="1"/>
    <n v="8943"/>
    <n v="8943"/>
    <s v="كاش"/>
    <n v="45"/>
    <n v="14"/>
    <x v="1"/>
    <d v="2024-09-26T00:00:00"/>
    <d v="2024-11-10T00:00:00"/>
    <d v="2024-10-10T00:00:00"/>
    <s v="تم التسليم محمود على "/>
    <x v="0"/>
  </r>
  <r>
    <s v="عبد الرحمن يسري"/>
    <x v="0"/>
    <s v="اكتوبر الجيزه"/>
    <x v="0"/>
    <x v="0"/>
    <x v="1"/>
    <s v="رف سحاب"/>
    <m/>
    <m/>
    <s v="غير محدد"/>
    <x v="3"/>
    <m/>
    <n v="1"/>
    <n v="8349"/>
    <n v="8349"/>
    <s v="كاش"/>
    <n v="45"/>
    <n v="0"/>
    <x v="0"/>
    <d v="2024-09-26T00:00:00"/>
    <d v="2024-11-10T00:00:00"/>
    <m/>
    <m/>
    <x v="1"/>
  </r>
  <r>
    <s v="شيك هومز"/>
    <x v="1"/>
    <s v="التجمع"/>
    <x v="5"/>
    <x v="1"/>
    <x v="2"/>
    <s v="4*1"/>
    <m/>
    <m/>
    <s v="غير محدد"/>
    <x v="7"/>
    <m/>
    <n v="1"/>
    <n v="14950"/>
    <n v="14950"/>
    <s v="مسبق الدفع"/>
    <n v="18"/>
    <n v="17"/>
    <x v="1"/>
    <d v="2024-09-26T00:00:00"/>
    <d v="2024-10-14T00:00:00"/>
    <d v="2024-10-13T00:00:00"/>
    <s v="تم التسليم محمود على "/>
    <x v="0"/>
  </r>
  <r>
    <s v="شيك هومز"/>
    <x v="1"/>
    <m/>
    <x v="4"/>
    <x v="1"/>
    <x v="0"/>
    <s v="دورين"/>
    <s v="كينج"/>
    <n v="100"/>
    <s v="اسود "/>
    <x v="3"/>
    <m/>
    <n v="1"/>
    <n v="9208"/>
    <n v="9208"/>
    <s v="كاش"/>
    <n v="18"/>
    <n v="0"/>
    <x v="0"/>
    <d v="2024-09-26T00:00:00"/>
    <d v="2024-10-14T00:00:00"/>
    <m/>
    <m/>
    <x v="1"/>
  </r>
  <r>
    <s v="شيك هومز"/>
    <x v="1"/>
    <m/>
    <x v="4"/>
    <x v="1"/>
    <x v="0"/>
    <s v="فردى"/>
    <s v="اسبانى"/>
    <n v="120"/>
    <s v="ابيض"/>
    <x v="3"/>
    <m/>
    <n v="1"/>
    <n v="7433"/>
    <n v="7433"/>
    <s v="مسبق الدفع"/>
    <n v="21"/>
    <n v="22"/>
    <x v="2"/>
    <d v="2024-09-29T00:00:00"/>
    <d v="2024-10-20T00:00:00"/>
    <d v="2024-10-21T00:00:00"/>
    <s v="تم التسليم محمود على "/>
    <x v="0"/>
  </r>
  <r>
    <s v="اوسكار راتن"/>
    <x v="1"/>
    <s v="المخزن ابو الغيط "/>
    <x v="6"/>
    <x v="4"/>
    <x v="0"/>
    <s v="فردى"/>
    <s v="فورجينا"/>
    <n v="120"/>
    <s v="ابيض"/>
    <x v="3"/>
    <m/>
    <n v="1"/>
    <n v="4020"/>
    <n v="4020"/>
    <s v="حساب شركه"/>
    <n v="13"/>
    <n v="13"/>
    <x v="1"/>
    <d v="2024-09-29T00:00:00"/>
    <d v="2024-10-12T00:00:00"/>
    <d v="2024-10-12T00:00:00"/>
    <s v="تم التسليم محمود على "/>
    <x v="0"/>
  </r>
  <r>
    <s v="الحج محمد السويس"/>
    <x v="0"/>
    <s v="السويس "/>
    <x v="7"/>
    <x v="5"/>
    <x v="0"/>
    <s v="دورين"/>
    <s v="فانتستيك"/>
    <n v="100"/>
    <s v="الوان"/>
    <x v="3"/>
    <m/>
    <n v="1"/>
    <n v="8544.9054400000005"/>
    <n v="8544.9054400000005"/>
    <s v="0"/>
    <n v="8"/>
    <n v="8"/>
    <x v="1"/>
    <d v="2024-10-01T00:00:00"/>
    <d v="2024-10-09T00:00:00"/>
    <d v="2024-10-09T00:00:00"/>
    <s v="تم التسليم بمعرفه الحج سيد "/>
    <x v="0"/>
  </r>
  <r>
    <s v="الحج محمد السويس"/>
    <x v="0"/>
    <s v="السويس "/>
    <x v="7"/>
    <x v="5"/>
    <x v="0"/>
    <s v="منطبق"/>
    <m/>
    <m/>
    <s v="اسود "/>
    <x v="6"/>
    <m/>
    <n v="1"/>
    <n v="4600"/>
    <n v="4600"/>
    <s v="0"/>
    <n v="8"/>
    <n v="8"/>
    <x v="1"/>
    <d v="2024-10-01T00:00:00"/>
    <d v="2024-10-09T00:00:00"/>
    <d v="2024-10-09T00:00:00"/>
    <s v="تم التسليم بمعرفه الحج سيد "/>
    <x v="0"/>
  </r>
  <r>
    <s v="الحج محمد السويس"/>
    <x v="0"/>
    <s v="السويس "/>
    <x v="7"/>
    <x v="5"/>
    <x v="2"/>
    <s v="فنيسيا"/>
    <m/>
    <m/>
    <s v="اسود"/>
    <x v="8"/>
    <m/>
    <n v="1"/>
    <n v="10000"/>
    <n v="10000"/>
    <s v="0"/>
    <n v="8"/>
    <n v="8"/>
    <x v="1"/>
    <d v="2024-10-01T00:00:00"/>
    <d v="2024-10-09T00:00:00"/>
    <d v="2024-10-09T00:00:00"/>
    <s v="تم التسليم بمعرفه الحج سيد "/>
    <x v="0"/>
  </r>
  <r>
    <s v="عمرو الأسود"/>
    <x v="0"/>
    <s v="الزمالك"/>
    <x v="5"/>
    <x v="0"/>
    <x v="0"/>
    <s v="منطبق"/>
    <m/>
    <m/>
    <s v="اسود"/>
    <x v="3"/>
    <m/>
    <n v="1"/>
    <n v="8899"/>
    <n v="8899"/>
    <s v="كاش"/>
    <n v="45"/>
    <n v="0"/>
    <x v="0"/>
    <d v="2024-10-03T00:00:00"/>
    <d v="2024-11-17T00:00:00"/>
    <m/>
    <m/>
    <x v="1"/>
  </r>
  <r>
    <s v="شيك هومز"/>
    <x v="1"/>
    <s v="مخزن شيك هومز"/>
    <x v="4"/>
    <x v="1"/>
    <x v="2"/>
    <s v="4*1"/>
    <m/>
    <m/>
    <s v="اسود "/>
    <x v="9"/>
    <m/>
    <n v="1"/>
    <n v="14550"/>
    <n v="14550"/>
    <s v="مسبق الدفع"/>
    <n v="21"/>
    <n v="22"/>
    <x v="2"/>
    <d v="2024-10-08T00:00:00"/>
    <d v="2024-10-29T00:00:00"/>
    <d v="2024-10-30T00:00:00"/>
    <s v="تم التسليم محمود على "/>
    <x v="0"/>
  </r>
  <r>
    <s v="شيك هومز"/>
    <x v="1"/>
    <s v="أكتوبر "/>
    <x v="0"/>
    <x v="1"/>
    <x v="2"/>
    <s v="4*1"/>
    <m/>
    <m/>
    <s v="اسود "/>
    <x v="9"/>
    <m/>
    <n v="1"/>
    <n v="14550"/>
    <n v="14550"/>
    <s v="مسبق الدفع"/>
    <n v="22"/>
    <n v="8"/>
    <x v="1"/>
    <d v="2024-10-07T00:00:00"/>
    <d v="2024-10-29T00:00:00"/>
    <d v="2024-10-15T00:00:00"/>
    <s v="تم التسليم محمود على "/>
    <x v="0"/>
  </r>
  <r>
    <s v="شيك هومز"/>
    <x v="1"/>
    <m/>
    <x v="4"/>
    <x v="1"/>
    <x v="2"/>
    <s v="4*1"/>
    <m/>
    <m/>
    <s v="اسود "/>
    <x v="7"/>
    <m/>
    <n v="1"/>
    <n v="14550"/>
    <n v="14550"/>
    <s v="كاش"/>
    <n v="21"/>
    <n v="23"/>
    <x v="2"/>
    <d v="2024-10-10T00:00:00"/>
    <d v="2024-10-31T00:00:00"/>
    <d v="2024-11-02T00:00:00"/>
    <s v="تم التسليم محمود على "/>
    <x v="0"/>
  </r>
  <r>
    <s v="keira"/>
    <x v="0"/>
    <s v="القاهره الجديده "/>
    <x v="5"/>
    <x v="0"/>
    <x v="0"/>
    <s v="دورين"/>
    <s v="نوفال "/>
    <s v="١٤٠/١٠٠"/>
    <s v="بينك"/>
    <x v="3"/>
    <m/>
    <n v="1"/>
    <n v="12899"/>
    <n v="12899"/>
    <s v="كاش"/>
    <n v="65"/>
    <n v="20"/>
    <x v="1"/>
    <d v="2024-10-13T00:00:00"/>
    <d v="2024-12-17T00:00:00"/>
    <d v="2024-11-02T00:00:00"/>
    <s v="تم التسليم محمود على "/>
    <x v="0"/>
  </r>
  <r>
    <s v="tarek"/>
    <x v="0"/>
    <s v="مصر الجديده"/>
    <x v="5"/>
    <x v="0"/>
    <x v="0"/>
    <s v="دورين"/>
    <s v="كيفنج"/>
    <n v="80"/>
    <s v="ابيض"/>
    <x v="3"/>
    <m/>
    <n v="1"/>
    <n v="10499"/>
    <n v="10499"/>
    <s v="مسبق الدفع"/>
    <n v="64"/>
    <n v="5"/>
    <x v="1"/>
    <d v="2024-10-16T00:00:00"/>
    <d v="2024-12-19T00:00:00"/>
    <d v="2024-10-21T00:00:00"/>
    <s v="تم التسليم محمود على "/>
    <x v="0"/>
  </r>
  <r>
    <s v="reem"/>
    <x v="0"/>
    <s v="البطاش اسكندريه"/>
    <x v="1"/>
    <x v="0"/>
    <x v="0"/>
    <s v="دورين"/>
    <s v="نوفال"/>
    <s v="١٠٠/١٤٠"/>
    <s v="بينك"/>
    <x v="3"/>
    <m/>
    <n v="1"/>
    <n v="12899"/>
    <n v="12899"/>
    <s v="مسبق الدفع"/>
    <n v="66"/>
    <n v="47"/>
    <x v="1"/>
    <d v="2024-10-17T00:00:00"/>
    <d v="2024-12-22T00:00:00"/>
    <d v="2024-12-03T00:00:00"/>
    <s v="تم التسليم عن طريق شركه شحن "/>
    <x v="0"/>
  </r>
  <r>
    <s v="هشام سامى"/>
    <x v="0"/>
    <s v="41 كومبوند جولدن جستس الدور 4 شقه 4"/>
    <x v="5"/>
    <x v="6"/>
    <x v="0"/>
    <s v="فردى"/>
    <s v="بلحه"/>
    <n v="140"/>
    <s v="نبيتى "/>
    <x v="10"/>
    <m/>
    <n v="1"/>
    <n v="5135"/>
    <n v="5135"/>
    <s v="مسبق الدفع"/>
    <n v="28"/>
    <n v="25"/>
    <x v="1"/>
    <d v="2024-10-20T00:00:00"/>
    <d v="2024-11-17T00:00:00"/>
    <d v="2024-11-14T00:00:00"/>
    <s v="تم التسليم محمود على "/>
    <x v="0"/>
  </r>
  <r>
    <s v="شيك هومز"/>
    <x v="1"/>
    <s v="اكتوبر الجيزه"/>
    <x v="0"/>
    <x v="1"/>
    <x v="0"/>
    <s v="دورين"/>
    <s v="فانتستيك"/>
    <n v="100"/>
    <s v="الوان"/>
    <x v="3"/>
    <m/>
    <n v="1"/>
    <n v="12777.5"/>
    <n v="12777.5"/>
    <s v="كاش"/>
    <n v="21"/>
    <n v="27"/>
    <x v="2"/>
    <d v="2024-10-22T00:00:00"/>
    <d v="2024-11-12T00:00:00"/>
    <d v="2024-11-18T00:00:00"/>
    <s v="تم التسليم محمود على "/>
    <x v="0"/>
  </r>
  <r>
    <s v="اوسكار راتن"/>
    <x v="1"/>
    <s v="المعرض مدينه نصر"/>
    <x v="5"/>
    <x v="4"/>
    <x v="0"/>
    <s v="دورين"/>
    <s v="فانتستيك"/>
    <n v="100"/>
    <s v="الوان"/>
    <x v="3"/>
    <m/>
    <n v="1"/>
    <n v="8544.91"/>
    <n v="8544.91"/>
    <s v="حساب شركه"/>
    <n v="0"/>
    <n v="0"/>
    <x v="0"/>
    <d v="2024-10-22T00:00:00"/>
    <m/>
    <m/>
    <m/>
    <x v="1"/>
  </r>
  <r>
    <s v="فاطمه محمد"/>
    <x v="0"/>
    <s v="أكتوبر الجيزه"/>
    <x v="0"/>
    <x v="0"/>
    <x v="0"/>
    <s v="فردى"/>
    <s v="فورجينا"/>
    <n v="120"/>
    <s v="ابيض"/>
    <x v="3"/>
    <m/>
    <n v="1"/>
    <n v="8943"/>
    <n v="8943"/>
    <s v="كاش"/>
    <n v="24"/>
    <n v="28"/>
    <x v="2"/>
    <d v="2024-10-21T00:00:00"/>
    <d v="2024-11-14T00:00:00"/>
    <d v="2024-11-18T00:00:00"/>
    <s v="تم التسليم محمود على "/>
    <x v="0"/>
  </r>
  <r>
    <s v="شيك هومز"/>
    <x v="1"/>
    <m/>
    <x v="4"/>
    <x v="1"/>
    <x v="2"/>
    <s v="4*1"/>
    <m/>
    <m/>
    <s v="اسود"/>
    <x v="3"/>
    <m/>
    <n v="1"/>
    <n v="15516"/>
    <n v="15516"/>
    <s v="مسبق الدفع"/>
    <n v="21"/>
    <n v="6"/>
    <x v="1"/>
    <d v="2024-10-24T00:00:00"/>
    <d v="2024-11-14T00:00:00"/>
    <d v="2024-10-30T00:00:00"/>
    <s v="تم التسليم محمود على "/>
    <x v="0"/>
  </r>
  <r>
    <s v="شيك هومز"/>
    <x v="1"/>
    <m/>
    <x v="4"/>
    <x v="1"/>
    <x v="0"/>
    <s v="دورين"/>
    <s v="كينج"/>
    <n v="100"/>
    <s v="اسود"/>
    <x v="3"/>
    <m/>
    <n v="1"/>
    <n v="10045"/>
    <n v="10045"/>
    <s v="كاش"/>
    <n v="21"/>
    <n v="0"/>
    <x v="0"/>
    <d v="2024-10-26T00:00:00"/>
    <d v="2024-11-16T00:00:00"/>
    <m/>
    <m/>
    <x v="1"/>
  </r>
  <r>
    <s v="ساره"/>
    <x v="0"/>
    <s v="الشيخ زايد اكتوبر"/>
    <x v="0"/>
    <x v="0"/>
    <x v="0"/>
    <s v="دورين"/>
    <s v="كينج"/>
    <n v="90"/>
    <s v="اسود"/>
    <x v="3"/>
    <m/>
    <n v="1"/>
    <n v="11649"/>
    <n v="11649"/>
    <s v="كاش"/>
    <n v="15"/>
    <n v="23"/>
    <x v="2"/>
    <d v="2024-10-26T00:00:00"/>
    <d v="2024-11-10T00:00:00"/>
    <d v="2024-11-18T00:00:00"/>
    <s v="تم التسليم محمود على "/>
    <x v="0"/>
  </r>
  <r>
    <s v="بولا هومزمارت"/>
    <x v="0"/>
    <s v="المعادى"/>
    <x v="5"/>
    <x v="0"/>
    <x v="0"/>
    <s v="فردى"/>
    <s v="اسبانى"/>
    <n v="100"/>
    <s v="ابيض"/>
    <x v="3"/>
    <m/>
    <n v="1"/>
    <n v="5100"/>
    <n v="5100"/>
    <s v="كاش"/>
    <n v="14"/>
    <n v="24"/>
    <x v="2"/>
    <d v="2024-10-28T00:00:00"/>
    <d v="2024-11-11T00:00:00"/>
    <d v="2024-11-21T00:00:00"/>
    <s v="تم التسليم محمود على "/>
    <x v="0"/>
  </r>
  <r>
    <s v="بولا هومزمارت"/>
    <x v="0"/>
    <s v="المعادى"/>
    <x v="5"/>
    <x v="0"/>
    <x v="0"/>
    <s v="فردى"/>
    <s v="اسبانى"/>
    <n v="120"/>
    <s v="ابيض"/>
    <x v="3"/>
    <m/>
    <n v="1"/>
    <n v="5300"/>
    <n v="5300"/>
    <s v="كاش"/>
    <n v="14"/>
    <n v="24"/>
    <x v="2"/>
    <d v="2024-10-28T00:00:00"/>
    <d v="2024-11-11T00:00:00"/>
    <d v="2024-11-21T00:00:00"/>
    <s v="تم التسليم محمود على "/>
    <x v="0"/>
  </r>
  <r>
    <s v="محمد شكرى"/>
    <x v="0"/>
    <s v="مدينتى"/>
    <x v="5"/>
    <x v="0"/>
    <x v="0"/>
    <s v="دورين"/>
    <s v="كيفنج"/>
    <n v="80"/>
    <s v="ابيض"/>
    <x v="3"/>
    <m/>
    <n v="1"/>
    <n v="12099"/>
    <n v="12099"/>
    <s v="مسبق الدفع"/>
    <n v="15"/>
    <n v="16"/>
    <x v="2"/>
    <d v="2024-11-11T00:00:00"/>
    <d v="2024-11-26T00:00:00"/>
    <d v="2024-11-27T00:00:00"/>
    <s v="تم التسليم محمود على "/>
    <x v="0"/>
  </r>
  <r>
    <s v="شيك هومز"/>
    <x v="1"/>
    <s v="مخزن شيك هومز"/>
    <x v="4"/>
    <x v="1"/>
    <x v="2"/>
    <s v="4*1"/>
    <s v="ارينا"/>
    <m/>
    <s v="اسود "/>
    <x v="9"/>
    <m/>
    <n v="1"/>
    <n v="15872"/>
    <n v="15872"/>
    <s v="مسبق الدفع"/>
    <n v="25"/>
    <n v="6"/>
    <x v="1"/>
    <d v="2024-11-08T00:00:00"/>
    <d v="2024-12-03T00:00:00"/>
    <d v="2024-11-14T00:00:00"/>
    <s v="تم التسليم محمود على "/>
    <x v="0"/>
  </r>
  <r>
    <s v="منزلى"/>
    <x v="0"/>
    <s v="التجمع الخامس"/>
    <x v="5"/>
    <x v="6"/>
    <x v="0"/>
    <s v="فردى"/>
    <s v="فورجينا"/>
    <n v="120"/>
    <s v="ابيض"/>
    <x v="3"/>
    <m/>
    <n v="1"/>
    <n v="4520"/>
    <n v="4520"/>
    <s v="حساب شركه"/>
    <n v="12"/>
    <n v="11"/>
    <x v="1"/>
    <d v="2024-11-10T00:00:00"/>
    <d v="2024-11-22T00:00:00"/>
    <d v="2024-11-21T00:00:00"/>
    <s v="تم التسليم محمود على "/>
    <x v="0"/>
  </r>
  <r>
    <s v="اوسكار راتن"/>
    <x v="1"/>
    <s v="المخزن ابو الغيط "/>
    <x v="6"/>
    <x v="4"/>
    <x v="0"/>
    <s v="دورين"/>
    <s v="كينج"/>
    <n v="90"/>
    <s v="اسود"/>
    <x v="3"/>
    <m/>
    <n v="1"/>
    <n v="5766"/>
    <n v="5766"/>
    <s v="حساب شركه"/>
    <n v="14"/>
    <n v="13"/>
    <x v="1"/>
    <d v="2024-11-12T00:00:00"/>
    <d v="2024-11-26T00:00:00"/>
    <d v="2024-11-25T00:00:00"/>
    <s v="تم التسليم محمود على "/>
    <x v="0"/>
  </r>
  <r>
    <s v="حماده"/>
    <x v="0"/>
    <s v="المعادى"/>
    <x v="5"/>
    <x v="0"/>
    <x v="0"/>
    <s v="فردى"/>
    <s v="فورجينا"/>
    <n v="160"/>
    <s v="بنفسجى"/>
    <x v="3"/>
    <m/>
    <n v="1"/>
    <n v="11395"/>
    <n v="11395"/>
    <s v="مسبق الدفع"/>
    <n v="12"/>
    <n v="15"/>
    <x v="2"/>
    <d v="2024-11-12T00:00:00"/>
    <d v="2024-11-24T00:00:00"/>
    <d v="2024-11-27T00:00:00"/>
    <s v="تم التسليم محمود على "/>
    <x v="0"/>
  </r>
  <r>
    <s v="صفاء عبد الباقي"/>
    <x v="0"/>
    <s v="التجمع الخامس"/>
    <x v="5"/>
    <x v="0"/>
    <x v="0"/>
    <s v="دورين"/>
    <s v="كينج "/>
    <n v="80"/>
    <s v="ابيض"/>
    <x v="3"/>
    <m/>
    <n v="1"/>
    <n v="12919"/>
    <n v="12919"/>
    <s v="مسبق الدفع"/>
    <n v="16"/>
    <n v="13"/>
    <x v="1"/>
    <d v="2024-11-14T00:00:00"/>
    <d v="2024-11-30T00:00:00"/>
    <d v="2024-11-27T00:00:00"/>
    <s v="تم التسليم محمود على "/>
    <x v="0"/>
  </r>
  <r>
    <s v="اوسكار راتن"/>
    <x v="1"/>
    <s v="المخزن ابو الغيط "/>
    <x v="6"/>
    <x v="4"/>
    <x v="0"/>
    <s v="دورين"/>
    <s v="نوفال"/>
    <n v="120"/>
    <s v="رمادى"/>
    <x v="3"/>
    <m/>
    <n v="1"/>
    <n v="6376"/>
    <n v="6376"/>
    <s v="حساب شركه"/>
    <n v="13"/>
    <n v="11"/>
    <x v="1"/>
    <d v="2024-11-14T00:00:00"/>
    <d v="2024-11-27T00:00:00"/>
    <d v="2024-11-25T00:00:00"/>
    <s v="تم التسليم محمود على "/>
    <x v="0"/>
  </r>
  <r>
    <s v="اوسكار راتن"/>
    <x v="1"/>
    <s v="المخزن"/>
    <x v="6"/>
    <x v="4"/>
    <x v="0"/>
    <s v="دورين "/>
    <s v="نوفال"/>
    <n v="90"/>
    <s v="اسود"/>
    <x v="3"/>
    <m/>
    <n v="1"/>
    <n v="5294"/>
    <n v="5294"/>
    <s v="حساب شركه"/>
    <n v="13"/>
    <n v="11"/>
    <x v="1"/>
    <d v="2024-11-14T00:00:00"/>
    <d v="2024-11-27T00:00:00"/>
    <d v="2024-11-25T00:00:00"/>
    <s v="تم التسليم محمود على "/>
    <x v="0"/>
  </r>
  <r>
    <s v="رندا العامرى"/>
    <x v="0"/>
    <s v="٦ اكتوبر الجيزه "/>
    <x v="0"/>
    <x v="7"/>
    <x v="0"/>
    <s v="دورين "/>
    <s v="كيفنج "/>
    <n v="80"/>
    <s v="ابيض"/>
    <x v="3"/>
    <m/>
    <n v="1"/>
    <n v="7396"/>
    <n v="7396"/>
    <s v="مسبق الدفع"/>
    <n v="11"/>
    <n v="9"/>
    <x v="1"/>
    <d v="2024-11-17T00:00:00"/>
    <d v="2024-11-28T00:00:00"/>
    <d v="2024-11-26T00:00:00"/>
    <s v="تم التسليم محمود على "/>
    <x v="0"/>
  </r>
  <r>
    <s v="ساره"/>
    <x v="0"/>
    <s v="٦ اكتوبر الجيزه"/>
    <x v="0"/>
    <x v="0"/>
    <x v="0"/>
    <s v="دورين"/>
    <s v="كينج"/>
    <n v="90"/>
    <s v="اسود"/>
    <x v="3"/>
    <m/>
    <n v="1"/>
    <n v="13439"/>
    <n v="13439"/>
    <s v="كاش"/>
    <n v="15"/>
    <n v="6"/>
    <x v="1"/>
    <d v="2024-11-20T00:00:00"/>
    <d v="2024-12-05T00:00:00"/>
    <d v="2024-11-26T00:00:00"/>
    <s v="تم التسليم محمود على "/>
    <x v="0"/>
  </r>
  <r>
    <s v="تاكي"/>
    <x v="1"/>
    <s v="العباسيه "/>
    <x v="5"/>
    <x v="3"/>
    <x v="0"/>
    <s v="فردى "/>
    <s v="امريكى"/>
    <n v="160"/>
    <s v="اسود"/>
    <x v="3"/>
    <m/>
    <n v="1"/>
    <n v="5100"/>
    <n v="5100"/>
    <s v="حساب شركه"/>
    <n v="24"/>
    <n v="0"/>
    <x v="0"/>
    <d v="2024-11-14T00:00:00"/>
    <d v="2024-12-08T00:00:00"/>
    <m/>
    <m/>
    <x v="1"/>
  </r>
  <r>
    <s v="محمد حمدى"/>
    <x v="0"/>
    <s v="مصر الجديده"/>
    <x v="5"/>
    <x v="2"/>
    <x v="0"/>
    <s v="فردى"/>
    <s v="كوين "/>
    <n v="160"/>
    <s v="دهبي"/>
    <x v="0"/>
    <m/>
    <n v="1"/>
    <n v="6000"/>
    <n v="6000"/>
    <s v="كاش"/>
    <n v="10"/>
    <n v="5"/>
    <x v="1"/>
    <d v="2024-11-22T00:00:00"/>
    <d v="2024-12-02T00:00:00"/>
    <d v="2024-11-27T00:00:00"/>
    <s v="تم التسليم محمود على "/>
    <x v="0"/>
  </r>
  <r>
    <s v="بافلى هانى"/>
    <x v="0"/>
    <s v="شبرا "/>
    <x v="5"/>
    <x v="0"/>
    <x v="0"/>
    <s v="فردى "/>
    <s v="اسبانى "/>
    <n v="120"/>
    <s v="رمادى"/>
    <x v="3"/>
    <m/>
    <n v="1"/>
    <n v="10885"/>
    <n v="10885"/>
    <s v="كاش"/>
    <n v="11"/>
    <n v="16"/>
    <x v="2"/>
    <d v="2024-11-24T00:00:00"/>
    <d v="2024-12-05T00:00:00"/>
    <d v="2024-12-10T00:00:00"/>
    <s v="تم التسليم محمود على "/>
    <x v="0"/>
  </r>
  <r>
    <s v="تاكي"/>
    <x v="1"/>
    <s v="العباسيه "/>
    <x v="5"/>
    <x v="3"/>
    <x v="2"/>
    <s v="t1"/>
    <s v="t1"/>
    <m/>
    <s v="غير محدد"/>
    <x v="3"/>
    <m/>
    <n v="1"/>
    <n v="6000"/>
    <n v="6000"/>
    <s v="كاش"/>
    <n v="16"/>
    <n v="1"/>
    <x v="1"/>
    <d v="2024-11-19T00:00:00"/>
    <d v="2024-12-05T00:00:00"/>
    <d v="2024-11-20T00:00:00"/>
    <s v="تم التسليم م محمد "/>
    <x v="0"/>
  </r>
  <r>
    <s v="رنا ميلاد"/>
    <x v="0"/>
    <s v="جليم الإسكندرية "/>
    <x v="1"/>
    <x v="0"/>
    <x v="1"/>
    <m/>
    <s v="مكتبه"/>
    <m/>
    <s v="غير محدد"/>
    <x v="3"/>
    <m/>
    <n v="1"/>
    <n v="8449"/>
    <n v="8449"/>
    <s v="مسبق الدفع"/>
    <n v="13"/>
    <n v="26"/>
    <x v="2"/>
    <d v="2024-11-27T00:00:00"/>
    <d v="2024-12-10T00:00:00"/>
    <d v="2024-12-23T00:00:00"/>
    <s v="تم التسليم عن طريق شركه شحن "/>
    <x v="0"/>
  </r>
  <r>
    <s v="محمد ناجى"/>
    <x v="0"/>
    <s v="مدينه نصر "/>
    <x v="5"/>
    <x v="0"/>
    <x v="1"/>
    <s v="دورين "/>
    <s v="ميكانزم"/>
    <m/>
    <s v="ابيض"/>
    <x v="11"/>
    <m/>
    <n v="1"/>
    <n v="10249"/>
    <n v="10249"/>
    <s v="كاش"/>
    <n v="13"/>
    <n v="22"/>
    <x v="2"/>
    <d v="2024-11-27T00:00:00"/>
    <d v="2024-12-10T00:00:00"/>
    <d v="2024-12-19T00:00:00"/>
    <s v="تم التسليم محمود على "/>
    <x v="0"/>
  </r>
  <r>
    <s v="احمد عبد الستار"/>
    <x v="0"/>
    <s v="المندره اسكندريه"/>
    <x v="1"/>
    <x v="0"/>
    <x v="0"/>
    <s v="دورين"/>
    <s v="كيفنج"/>
    <n v="100"/>
    <s v="اسود"/>
    <x v="3"/>
    <m/>
    <n v="1"/>
    <n v="14905"/>
    <n v="14905"/>
    <s v="مسبق الدفع"/>
    <n v="16"/>
    <n v="0"/>
    <x v="0"/>
    <d v="2024-11-29T00:00:00"/>
    <d v="2024-12-15T00:00:00"/>
    <m/>
    <m/>
    <x v="1"/>
  </r>
  <r>
    <s v="نور"/>
    <x v="0"/>
    <s v="القاهره الجديده"/>
    <x v="5"/>
    <x v="0"/>
    <x v="1"/>
    <s v="دورين "/>
    <s v="ميكانزم"/>
    <m/>
    <s v="اسود "/>
    <x v="12"/>
    <m/>
    <n v="1"/>
    <n v="10249"/>
    <n v="10249"/>
    <s v="مسبق الدفع"/>
    <n v="12"/>
    <n v="0"/>
    <x v="0"/>
    <d v="2024-11-30T00:00:00"/>
    <d v="2024-12-12T00:00:00"/>
    <m/>
    <m/>
    <x v="1"/>
  </r>
  <r>
    <s v="نور"/>
    <x v="0"/>
    <s v="القاهره الجديده"/>
    <x v="5"/>
    <x v="0"/>
    <x v="1"/>
    <s v="رف سحاب"/>
    <m/>
    <m/>
    <s v="اسود"/>
    <x v="12"/>
    <m/>
    <n v="1"/>
    <n v="9029"/>
    <n v="9029"/>
    <s v="مسبق الدفع"/>
    <n v="12"/>
    <n v="0"/>
    <x v="0"/>
    <d v="2024-11-30T00:00:00"/>
    <d v="2024-12-12T00:00:00"/>
    <m/>
    <m/>
    <x v="1"/>
  </r>
  <r>
    <s v="تامر"/>
    <x v="0"/>
    <s v="العين السخنه"/>
    <x v="7"/>
    <x v="0"/>
    <x v="1"/>
    <s v="2 ميكانزم"/>
    <m/>
    <m/>
    <s v="اسود "/>
    <x v="6"/>
    <m/>
    <n v="1"/>
    <n v="9029"/>
    <n v="9029"/>
    <s v="مسبق الدفع"/>
    <n v="12"/>
    <n v="0"/>
    <x v="0"/>
    <d v="2024-11-30T00:00:00"/>
    <d v="2024-12-12T00:00:00"/>
    <m/>
    <m/>
    <x v="1"/>
  </r>
  <r>
    <s v="هناء اسامه"/>
    <x v="0"/>
    <s v="القطاميه"/>
    <x v="5"/>
    <x v="0"/>
    <x v="0"/>
    <s v="دورين "/>
    <s v="نوفال"/>
    <n v="80"/>
    <s v="ابيض"/>
    <x v="3"/>
    <m/>
    <n v="1"/>
    <n v="12099"/>
    <n v="12099"/>
    <s v="مسبق الدفع"/>
    <n v="15"/>
    <n v="0"/>
    <x v="0"/>
    <d v="2024-12-02T00:00:00"/>
    <d v="2024-12-17T00:00:00"/>
    <m/>
    <m/>
    <x v="1"/>
  </r>
  <r>
    <s v="اوسكار راتن"/>
    <x v="1"/>
    <s v="المخزن ابو الغيط "/>
    <x v="6"/>
    <x v="4"/>
    <x v="0"/>
    <s v="دورين "/>
    <s v="كيفنج "/>
    <n v="90"/>
    <s v="ازرق"/>
    <x v="3"/>
    <m/>
    <n v="1"/>
    <n v="5217"/>
    <n v="5217"/>
    <s v="حساب شركه"/>
    <n v="13"/>
    <n v="9"/>
    <x v="1"/>
    <d v="2024-12-01T00:00:00"/>
    <d v="2024-12-14T00:00:00"/>
    <d v="2024-12-10T00:00:00"/>
    <s v="تم التسليم محمود على "/>
    <x v="0"/>
  </r>
  <r>
    <s v="محمد عادل"/>
    <x v="0"/>
    <s v="العبور"/>
    <x v="6"/>
    <x v="0"/>
    <x v="0"/>
    <s v="منطبق"/>
    <m/>
    <m/>
    <s v="اسود"/>
    <x v="3"/>
    <m/>
    <n v="1"/>
    <n v="10249"/>
    <n v="10249"/>
    <s v="كاش"/>
    <n v="10"/>
    <n v="15"/>
    <x v="2"/>
    <d v="2024-12-04T00:00:00"/>
    <d v="2024-12-14T00:00:00"/>
    <d v="2024-12-19T00:00:00"/>
    <s v="تم التسليم محمود على "/>
    <x v="0"/>
  </r>
  <r>
    <s v="مريم عنان"/>
    <x v="0"/>
    <s v="اب تاون كايرو التجمع "/>
    <x v="5"/>
    <x v="1"/>
    <x v="0"/>
    <s v="دورين"/>
    <s v="كينج"/>
    <m/>
    <s v="اسود"/>
    <x v="3"/>
    <m/>
    <n v="1"/>
    <n v="10445"/>
    <n v="10445"/>
    <s v="كاش"/>
    <n v="22"/>
    <n v="3"/>
    <x v="1"/>
    <d v="2024-12-09T00:00:00"/>
    <d v="2024-12-31T00:00:00"/>
    <d v="2024-12-12T00:00:00"/>
    <s v="تم التسليم محمود على "/>
    <x v="0"/>
  </r>
  <r>
    <s v="هبه عطيه"/>
    <x v="0"/>
    <s v="القاهره الجديده"/>
    <x v="5"/>
    <x v="0"/>
    <x v="1"/>
    <s v="دورين"/>
    <s v="ميكانزم"/>
    <m/>
    <s v="اسود "/>
    <x v="12"/>
    <m/>
    <n v="1"/>
    <n v="11199"/>
    <n v="11199"/>
    <s v="كاش"/>
    <n v="12"/>
    <n v="7"/>
    <x v="1"/>
    <d v="2024-12-12T00:00:00"/>
    <d v="2024-12-24T00:00:00"/>
    <d v="2024-12-19T00:00:00"/>
    <s v="تم التسليم محمود على "/>
    <x v="0"/>
  </r>
  <r>
    <s v="حمدى ذكرى"/>
    <x v="0"/>
    <s v="٦ اكتوبر الجيزه"/>
    <x v="0"/>
    <x v="0"/>
    <x v="0"/>
    <s v="دورين"/>
    <s v="نوفال"/>
    <n v="80"/>
    <s v="اسود"/>
    <x v="3"/>
    <m/>
    <n v="1"/>
    <n v="13099"/>
    <n v="13099"/>
    <s v="كاش"/>
    <n v="16"/>
    <n v="17"/>
    <x v="2"/>
    <d v="2024-12-12T00:00:00"/>
    <d v="2024-12-28T00:00:00"/>
    <d v="2024-12-29T00:00:00"/>
    <s v="تم التسليم محمود على "/>
    <x v="0"/>
  </r>
  <r>
    <s v="شيك هومز"/>
    <x v="1"/>
    <s v="مخزن شيك هومز"/>
    <x v="4"/>
    <x v="1"/>
    <x v="2"/>
    <s v="4*1"/>
    <s v="ارينا"/>
    <m/>
    <s v="اسود "/>
    <x v="13"/>
    <m/>
    <n v="1"/>
    <n v="8700"/>
    <n v="8700"/>
    <s v="حساب شركه"/>
    <n v="22"/>
    <n v="15"/>
    <x v="1"/>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19F47E-4C6C-4865-B6AC-8FF289C8A834}"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لون القماش">
  <location ref="P10:Q20" firstHeaderRow="1" firstDataRow="1" firstDataCol="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axis="axisRow" dataField="1" showAll="0" measureFilter="1">
      <items count="15">
        <item x="0"/>
        <item x="11"/>
        <item x="1"/>
        <item x="9"/>
        <item x="12"/>
        <item x="6"/>
        <item x="10"/>
        <item x="8"/>
        <item x="4"/>
        <item x="13"/>
        <item x="3"/>
        <item x="2"/>
        <item x="5"/>
        <item x="7"/>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2"/>
    </i>
    <i>
      <x v="3"/>
    </i>
    <i>
      <x v="4"/>
    </i>
    <i>
      <x v="5"/>
    </i>
    <i>
      <x v="8"/>
    </i>
    <i>
      <x v="10"/>
    </i>
    <i>
      <x v="11"/>
    </i>
    <i>
      <x v="13"/>
    </i>
    <i t="grand">
      <x/>
    </i>
  </rowItems>
  <colItems count="1">
    <i/>
  </colItems>
  <dataFields count="1">
    <dataField name="Count of لون القماش" fld="10" subtotal="count" baseField="1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7"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0A00D-8112-4077-B89B-B45E20230F3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سعر الوحده" fld="1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426F39-69BF-438A-8EC0-19290FC4D5FE}"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المحافظه">
  <location ref="Y10:Z20" firstHeaderRow="1" firstDataRow="1" firstDataCol="1"/>
  <pivotFields count="24">
    <pivotField showAll="0"/>
    <pivotField showAll="0">
      <items count="3">
        <item x="0"/>
        <item x="1"/>
        <item t="default"/>
      </items>
    </pivotField>
    <pivotField showAll="0"/>
    <pivotField axis="axisRow"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الكمية" fld="12"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64639-0E59-4851-B34F-E5B70E92B1FD}"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الحالة">
  <location ref="V10:W13" firstHeaderRow="1" firstDataRow="1" firstDataCol="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4">
        <item x="0"/>
        <item h="1" x="2"/>
        <item x="1"/>
        <item t="default"/>
      </items>
    </pivotField>
  </pivotFields>
  <rowFields count="1">
    <field x="23"/>
  </rowFields>
  <rowItems count="3">
    <i>
      <x/>
    </i>
    <i>
      <x v="2"/>
    </i>
    <i t="grand">
      <x/>
    </i>
  </rowItems>
  <colItems count="1">
    <i/>
  </colItems>
  <dataFields count="1">
    <dataField name="Count of الحالة" fld="23" subtotal="count" showDataAs="percentOfTotal" baseField="23" baseItem="0" numFmtId="9"/>
  </dataFields>
  <formats count="1">
    <format dxfId="173">
      <pivotArea outline="0" collapsedLevelsAreSubtotals="1" fieldPosition="0"/>
    </format>
  </formats>
  <chartFormats count="3">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3" count="1" selected="0">
            <x v="0"/>
          </reference>
        </references>
      </pivotArea>
    </chartFormat>
    <chartFormat chart="6" format="12">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174E26-06BC-4466-B401-03145CC2693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24">
    <pivotField dataField="1"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اسم العميل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9D244-260B-449F-B036-A85A2EE52908}"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الصنف">
  <location ref="M10:N16" firstHeaderRow="1" firstDataRow="1" firstDataCol="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 showAll="0"/>
  </pivotFields>
  <rowFields count="1">
    <field x="5"/>
  </rowFields>
  <rowItems count="6">
    <i>
      <x v="2"/>
    </i>
    <i>
      <x v="4"/>
    </i>
    <i>
      <x/>
    </i>
    <i>
      <x v="3"/>
    </i>
    <i>
      <x v="1"/>
    </i>
    <i t="grand">
      <x/>
    </i>
  </rowItems>
  <colItems count="1">
    <i/>
  </colItems>
  <dataFields count="1">
    <dataField name="Sum of الكمية" fld="12" showDataAs="percentOfTotal" baseField="5" baseItem="0" numFmtId="9"/>
  </dataFields>
  <formats count="1">
    <format dxfId="174">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2" format="9">
      <pivotArea type="data" outline="0" fieldPosition="0">
        <references count="2">
          <reference field="4294967294" count="1" selected="0">
            <x v="0"/>
          </reference>
          <reference field="5" count="1" selected="0">
            <x v="4"/>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AB9244-9FD5-449D-88A0-586FE632585D}"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10:AC13" firstHeaderRow="1" firstDataRow="1" firstDataCol="1"/>
  <pivotFields count="24">
    <pivotField showAll="0"/>
    <pivotField axis="axisRow" dataField="1"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نوع العميل" fld="1" subtotal="count" showDataAs="percentOfTotal" baseField="1" baseItem="0" numFmtId="9"/>
  </dataFields>
  <formats count="1">
    <format dxfId="175">
      <pivotArea outline="0" collapsedLevelsAreSubtotals="1" fieldPosition="0"/>
    </format>
  </formats>
  <chartFormats count="3">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BC1549-FF55-4BAD-8C7F-02438BF0D9A6}"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التسليم فى الموعد">
  <location ref="S10:T13" firstHeaderRow="1" firstDataRow="1" firstDataCol="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axis="axisRow" showAll="0">
      <items count="4">
        <item x="1"/>
        <item x="2"/>
        <item h="1" x="0"/>
        <item t="default"/>
      </items>
    </pivotField>
    <pivotField showAll="0"/>
    <pivotField showAll="0"/>
    <pivotField showAll="0"/>
    <pivotField showAll="0"/>
    <pivotField dataField="1" showAll="0"/>
  </pivotFields>
  <rowFields count="1">
    <field x="18"/>
  </rowFields>
  <rowItems count="3">
    <i>
      <x/>
    </i>
    <i>
      <x v="1"/>
    </i>
    <i t="grand">
      <x/>
    </i>
  </rowItems>
  <colItems count="1">
    <i/>
  </colItems>
  <dataFields count="1">
    <dataField name="Count of الحالة" fld="23" subtotal="count" showDataAs="percentOfTotal" baseField="18" baseItem="0" numFmtId="10"/>
  </dataFields>
  <formats count="2">
    <format dxfId="177">
      <pivotArea grandRow="1" outline="0" collapsedLevelsAreSubtotals="1" fieldPosition="0"/>
    </format>
    <format dxfId="176">
      <pivotArea collapsedLevelsAreSubtotals="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564A30-78F3-4D93-9D4A-30A04978E61A}"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منصة البيع">
  <location ref="J10:K19" firstHeaderRow="1" firstDataRow="1" firstDataCol="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axis="axisRow" showAll="0" sortType="descending">
      <items count="9">
        <item x="5"/>
        <item x="4"/>
        <item x="3"/>
        <item x="1"/>
        <item x="2"/>
        <item x="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9">
    <i>
      <x v="7"/>
    </i>
    <i>
      <x v="3"/>
    </i>
    <i>
      <x v="2"/>
    </i>
    <i>
      <x v="1"/>
    </i>
    <i>
      <x v="4"/>
    </i>
    <i>
      <x/>
    </i>
    <i>
      <x v="6"/>
    </i>
    <i>
      <x v="5"/>
    </i>
    <i t="grand">
      <x/>
    </i>
  </rowItems>
  <colItems count="1">
    <i/>
  </colItems>
  <dataFields count="1">
    <dataField name="Sum of سعر البيع " fld="14" baseField="0" baseItem="0" numFmtId="164"/>
  </dataFields>
  <formats count="1">
    <format dxfId="17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0226F3-D193-4530-9E45-27B7A9BEDE8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rowPageCount="1" colPageCount="1"/>
  <pivotFields count="24">
    <pivotField showAll="0"/>
    <pivotField showAll="0">
      <items count="3">
        <item x="0"/>
        <item x="1"/>
        <item t="default"/>
      </items>
    </pivotField>
    <pivotField showAll="0"/>
    <pivotField showAll="0">
      <items count="10">
        <item x="8"/>
        <item x="1"/>
        <item x="3"/>
        <item x="0"/>
        <item x="7"/>
        <item x="5"/>
        <item x="6"/>
        <item x="4"/>
        <item x="2"/>
        <item t="default"/>
      </items>
    </pivotField>
    <pivotField showAll="0">
      <items count="9">
        <item x="5"/>
        <item x="4"/>
        <item x="3"/>
        <item x="1"/>
        <item x="2"/>
        <item x="7"/>
        <item x="6"/>
        <item x="0"/>
        <item t="default"/>
      </items>
    </pivotField>
    <pivotField showAll="0"/>
    <pivotField showAll="0"/>
    <pivotField showAll="0"/>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axis="axisPage" showAll="0">
      <items count="4">
        <item x="0"/>
        <item x="2"/>
        <item x="1"/>
        <item t="default"/>
      </items>
    </pivotField>
  </pivotFields>
  <rowItems count="1">
    <i/>
  </rowItems>
  <colItems count="1">
    <i/>
  </colItems>
  <pageFields count="1">
    <pageField fld="23" hier="-1"/>
  </pageFields>
  <dataFields count="1">
    <dataField name="Sum of سعر البيع " fld="14" baseField="0" baseItem="0" numFmtId="164"/>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8859C1-6F1E-4885-AE40-641D862F3BCC}" autoFormatId="16" applyNumberFormats="0" applyBorderFormats="0" applyFontFormats="0" applyPatternFormats="0" applyAlignmentFormats="0" applyWidthHeightFormats="0">
  <queryTableRefresh nextId="32" unboundColumnsRight="1">
    <queryTableFields count="24">
      <queryTableField id="1" name="اسم العميل " tableColumnId="1"/>
      <queryTableField id="2" name="نوع العميل" tableColumnId="2"/>
      <queryTableField id="3" name="العنوان" tableColumnId="3"/>
      <queryTableField id="4" name="المحافظة" tableColumnId="4"/>
      <queryTableField id="28" dataBound="0" tableColumnId="23"/>
      <queryTableField id="29" dataBound="0" tableColumnId="26"/>
      <queryTableField id="7" name="نوع الصنف " tableColumnId="7"/>
      <queryTableField id="8" name="اسم الصنف " tableColumnId="8"/>
      <queryTableField id="9" name="المقاس" tableColumnId="9"/>
      <queryTableField id="10" name="اللون المعدن" tableColumnId="10"/>
      <queryTableField id="30" dataBound="0" tableColumnId="27"/>
      <queryTableField id="12" name="المنتج" tableColumnId="12"/>
      <queryTableField id="24" dataBound="0" tableColumnId="24"/>
      <queryTableField id="25" dataBound="0" tableColumnId="25"/>
      <queryTableField id="13" name="سعر البيع " tableColumnId="13"/>
      <queryTableField id="14" name="طريقه الدفع" tableColumnId="14"/>
      <queryTableField id="15" name="مده التسليم(الهدف)" tableColumnId="15"/>
      <queryTableField id="16" name="مده التسليم (الفعلى)" tableColumnId="16"/>
      <queryTableField id="27" dataBound="0" tableColumnId="22"/>
      <queryTableField id="17" name="ميعاد الطلب" tableColumnId="17"/>
      <queryTableField id="18" name="ميعاد التسليم" tableColumnId="18"/>
      <queryTableField id="19" name="تاريخ التسليم" tableColumnId="19"/>
      <queryTableField id="20" name="المسئول عن التسليم" tableColumnId="20"/>
      <queryTableField id="31" dataBound="0" tableColumnId="28"/>
    </queryTableFields>
    <queryTableDeletedFields count="4">
      <deletedField name="منصة البيع "/>
      <deletedField name="الصنف"/>
      <deletedField name="لون القماش"/>
      <deletedField name="الحالة"/>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A08B77A1-6245-4CAB-9737-72CB0C2A6522}" sourceName="منصة البيع">
  <pivotTables>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280469100">
      <items count="8">
        <i x="5" s="1"/>
        <i x="4" s="1"/>
        <i x="3" s="1"/>
        <i x="1" s="1"/>
        <i x="2" s="1"/>
        <i x="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E6EEBE0D-76A0-4355-8849-76DEEEBBB7D3}" sourceName="المحافظة">
  <pivotTables>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2"/>
  </pivotTables>
  <data>
    <tabular pivotCacheId="1280469100">
      <items count="9">
        <i x="8" s="1"/>
        <i x="1" s="1"/>
        <i x="3" s="1"/>
        <i x="0" s="1"/>
        <i x="7" s="1"/>
        <i x="5" s="1"/>
        <i x="6"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7BAFFC80-3F2E-4A61-881F-6396C2C36D8C}" sourceName="نوع العميل">
  <pivotTables>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28046910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xr10:uid="{6E73F85F-9CCE-42A5-83E3-5288641EA49B}" cache="Slicer_منصة_البيع" caption="منصة البيع" columnCount="2" style="Slicer Style 5" rowHeight="234950"/>
  <slicer name="المحافظة" xr10:uid="{7FEAA71A-CC89-415D-8580-E8D7016D3EC2}" cache="Slicer_المحافظة" caption="المحافظة" columnCount="2" style="Slicer Style 5" rowHeight="182880"/>
  <slicer name="نوع العميل" xr10:uid="{C99E8974-A97A-47F5-AA0D-1C11EEB87276}" cache="Slicer_نوع_العميل" caption="نوع العميل" style="Slicer Style 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4482D-86F3-4A8A-B089-53A99EFF142C}" name="Table1_1" displayName="Table1_1" ref="A1:X112" tableType="queryTable" totalsRowShown="0">
  <autoFilter ref="A1:X112" xr:uid="{96F4482D-86F3-4A8A-B089-53A99EFF142C}"/>
  <tableColumns count="24">
    <tableColumn id="1" xr3:uid="{3F893EC5-7013-45B9-8471-1C7C9A242842}" uniqueName="1" name="اسم العميل " queryTableFieldId="1"/>
    <tableColumn id="2" xr3:uid="{5238DBBA-8993-4A65-8E55-3577BE4E854A}" uniqueName="2" name="نوع العميل" queryTableFieldId="2"/>
    <tableColumn id="3" xr3:uid="{9C963A94-D5D1-494C-BA00-AD72C5759250}" uniqueName="3" name="العنوان" queryTableFieldId="3"/>
    <tableColumn id="4" xr3:uid="{3536712C-023A-47D6-BDF1-B59EBA45A083}" uniqueName="4" name="المحافظة" queryTableFieldId="4"/>
    <tableColumn id="23" xr3:uid="{29766006-4DD3-4B30-BD4B-ABF7A2281F0B}" uniqueName="23" name="منصة البيع" queryTableFieldId="28" dataDxfId="172"/>
    <tableColumn id="26" xr3:uid="{444D6838-7602-41DE-893B-C98AD968073F}" uniqueName="26" name="الصنف" queryTableFieldId="29" dataDxfId="171"/>
    <tableColumn id="7" xr3:uid="{01898882-2E44-4302-BD85-44621CEF674F}" uniqueName="7" name="نوع الصنف " queryTableFieldId="7" dataDxfId="170"/>
    <tableColumn id="8" xr3:uid="{776B5ACA-B6C8-4D09-8BB8-D0B95BA30127}" uniqueName="8" name="اسم الصنف " queryTableFieldId="8" dataDxfId="169"/>
    <tableColumn id="9" xr3:uid="{AB74E93E-0401-470C-9861-CD27BA3B82A8}" uniqueName="9" name="المقاس" queryTableFieldId="9"/>
    <tableColumn id="10" xr3:uid="{9ABAC79F-422D-42D2-8BB2-F0548B3F422A}" uniqueName="10" name="اللون المعدن" queryTableFieldId="10"/>
    <tableColumn id="27" xr3:uid="{3AB21330-3A11-43F4-B9F2-29B0FF0218AB}" uniqueName="27" name="لون القماش" queryTableFieldId="30" dataDxfId="168"/>
    <tableColumn id="12" xr3:uid="{DD6EEB0E-4A07-4B7E-940C-AD903F405D02}" uniqueName="12" name="المنتج" queryTableFieldId="12"/>
    <tableColumn id="24" xr3:uid="{3C8205B6-B25B-437B-8BA3-2824D2F68CA6}" uniqueName="24" name="الكمية" queryTableFieldId="24"/>
    <tableColumn id="25" xr3:uid="{6C951DC9-A11C-456C-8C7F-2BCFF41B43D0}" uniqueName="25" name="سعر الوحده" queryTableFieldId="25" dataDxfId="167" dataCellStyle="Comma">
      <calculatedColumnFormula>Table1_1[[#This Row],[سعر البيع ]]/Table1_1[[#This Row],[الكمية]]</calculatedColumnFormula>
    </tableColumn>
    <tableColumn id="13" xr3:uid="{A6769A04-22BD-40B4-8AC5-B98CE7AE21A0}" uniqueName="13" name="سعر البيع " queryTableFieldId="13"/>
    <tableColumn id="14" xr3:uid="{EB865607-DEEE-49B9-8388-99E4615074EB}" uniqueName="14" name="طريقه الدفع" queryTableFieldId="14"/>
    <tableColumn id="15" xr3:uid="{4BB318D6-AEDC-40E6-B56A-3925379C6CCB}" uniqueName="15" name="مده التسليم(الهدف)" queryTableFieldId="15"/>
    <tableColumn id="16" xr3:uid="{BBB0FD27-827E-4AD9-ACF7-8A83ED42D23D}" uniqueName="16" name="مده التسليم (الفعلى)" queryTableFieldId="16" dataDxfId="166"/>
    <tableColumn id="22" xr3:uid="{2F2FC3EE-0443-472F-B0F5-091828449FF0}" uniqueName="22" name="التسليم فى الموعد" queryTableFieldId="27" dataDxfId="165">
      <calculatedColumnFormula>IF(Table1_1[[#This Row],[مده التسليم (الفعلى)]]&lt;=Table1_1[[#This Row],[مده التسليم(الهدف)]],"تم التسليم في الموعد","لم يتم التسليم في الموعد")</calculatedColumnFormula>
    </tableColumn>
    <tableColumn id="17" xr3:uid="{42892ABF-2AE7-42AB-BAF5-2FBA3FB6287C}" uniqueName="17" name="ميعاد الطلب" queryTableFieldId="17" dataDxfId="164"/>
    <tableColumn id="18" xr3:uid="{BBB44A82-6A88-40F4-937C-5D815D9F2BB2}" uniqueName="18" name="ميعاد التسليم" queryTableFieldId="18" dataDxfId="163"/>
    <tableColumn id="19" xr3:uid="{EEDB231F-67B8-470C-8B47-8F3E9190DB0D}" uniqueName="19" name="تاريخ التسليم" queryTableFieldId="19" dataDxfId="162"/>
    <tableColumn id="20" xr3:uid="{D1F8C47F-AD58-4506-91B1-040FBF982D32}" uniqueName="20" name="المسئول عن التسليم" queryTableFieldId="20"/>
    <tableColumn id="28" xr3:uid="{3C15849C-842C-493A-80B9-4063957234B4}" uniqueName="28" name="الحالة" queryTableFieldId="31" dataDxfId="16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topLeftCell="A3" zoomScale="169" workbookViewId="0">
      <selection activeCell="B16" sqref="B16"/>
    </sheetView>
  </sheetViews>
  <sheetFormatPr defaultRowHeight="14.4"/>
  <cols>
    <col min="2" max="2" width="41.88671875" customWidth="1"/>
  </cols>
  <sheetData>
    <row r="1" spans="1:2">
      <c r="A1" s="6"/>
      <c r="B1" s="6"/>
    </row>
    <row r="2" spans="1:2">
      <c r="A2" s="6"/>
      <c r="B2" s="6"/>
    </row>
    <row r="3" spans="1:2" s="4" customFormat="1" ht="24.6">
      <c r="A3" s="4" t="s">
        <v>225</v>
      </c>
    </row>
    <row r="4" spans="1:2" s="5" customFormat="1" ht="18">
      <c r="A4" s="8" t="s">
        <v>218</v>
      </c>
      <c r="B4" s="8"/>
    </row>
    <row r="5" spans="1:2" s="1" customFormat="1">
      <c r="A5" s="9"/>
      <c r="B5" s="9"/>
    </row>
    <row r="6" spans="1:2" s="3" customFormat="1" ht="17.399999999999999">
      <c r="A6" s="3" t="s">
        <v>224</v>
      </c>
    </row>
    <row r="7" spans="1:2" s="2" customFormat="1" ht="15.6">
      <c r="A7" s="10" t="s">
        <v>219</v>
      </c>
      <c r="B7" s="7"/>
    </row>
    <row r="8" spans="1:2" s="2" customFormat="1" ht="15.6">
      <c r="A8" s="7" t="s">
        <v>220</v>
      </c>
      <c r="B8" s="7"/>
    </row>
    <row r="9" spans="1:2" s="2" customFormat="1" ht="15.6">
      <c r="A9" s="7" t="s">
        <v>221</v>
      </c>
      <c r="B9" s="7"/>
    </row>
    <row r="10" spans="1:2" s="2" customFormat="1" ht="15.6">
      <c r="A10" s="7" t="s">
        <v>222</v>
      </c>
      <c r="B10" s="7"/>
    </row>
    <row r="11" spans="1:2" s="7" customFormat="1" ht="15.6">
      <c r="A11" s="7" t="s">
        <v>226</v>
      </c>
    </row>
    <row r="12" spans="1:2" s="2" customFormat="1" ht="15.6">
      <c r="A12" s="7" t="s">
        <v>227</v>
      </c>
      <c r="B12" s="7"/>
    </row>
    <row r="13" spans="1:2" s="2" customFormat="1" ht="15.6">
      <c r="A13" s="7" t="s">
        <v>223</v>
      </c>
      <c r="B13" s="7"/>
    </row>
    <row r="14" spans="1:2" s="2" customFormat="1" ht="15.6">
      <c r="A14" s="7" t="s">
        <v>230</v>
      </c>
      <c r="B14" s="7"/>
    </row>
    <row r="15" spans="1:2" s="2" customFormat="1" ht="15.6">
      <c r="A15" s="7" t="s">
        <v>228</v>
      </c>
      <c r="B15" s="7"/>
    </row>
    <row r="16" spans="1:2" ht="15.6">
      <c r="A16" s="7"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A704-1BEC-4827-98C2-55A8ED34B580}">
  <dimension ref="A1:AC20"/>
  <sheetViews>
    <sheetView topLeftCell="R1" zoomScale="104" zoomScaleNormal="139" workbookViewId="0">
      <selection activeCell="Y25" sqref="Y25"/>
    </sheetView>
  </sheetViews>
  <sheetFormatPr defaultRowHeight="14.4"/>
  <cols>
    <col min="1" max="1" width="14.6640625" bestFit="1" customWidth="1"/>
    <col min="2" max="2" width="6.44140625" bestFit="1" customWidth="1"/>
    <col min="3" max="3" width="9" style="17" bestFit="1" customWidth="1"/>
    <col min="4" max="4" width="17.109375" bestFit="1" customWidth="1"/>
    <col min="5" max="5" width="11.6640625" bestFit="1" customWidth="1"/>
    <col min="6" max="6" width="9" style="17" bestFit="1" customWidth="1"/>
    <col min="7" max="7" width="19.33203125" bestFit="1" customWidth="1"/>
    <col min="8" max="8" width="11.21875" customWidth="1"/>
    <col min="9" max="9" width="9" style="17" bestFit="1" customWidth="1"/>
    <col min="10" max="10" width="10.88671875" bestFit="1" customWidth="1"/>
    <col min="11" max="11" width="14.6640625" bestFit="1" customWidth="1"/>
    <col min="12" max="12" width="9" style="17" bestFit="1" customWidth="1"/>
    <col min="13" max="13" width="10.77734375" bestFit="1" customWidth="1"/>
    <col min="14" max="14" width="11.44140625" bestFit="1" customWidth="1"/>
    <col min="15" max="15" width="9" style="17" bestFit="1" customWidth="1"/>
    <col min="16" max="16" width="11.21875" bestFit="1" customWidth="1"/>
    <col min="17" max="17" width="16.77734375" bestFit="1" customWidth="1"/>
    <col min="18" max="18" width="9" style="17" bestFit="1" customWidth="1"/>
    <col min="19" max="19" width="17.33203125" bestFit="1" customWidth="1"/>
    <col min="20" max="20" width="12.77734375" bestFit="1" customWidth="1"/>
    <col min="21" max="21" width="9" style="17" bestFit="1" customWidth="1"/>
    <col min="22" max="22" width="10.77734375" bestFit="1" customWidth="1"/>
    <col min="23" max="23" width="12.77734375" bestFit="1" customWidth="1"/>
    <col min="24" max="24" width="9" style="17" bestFit="1" customWidth="1"/>
    <col min="25" max="25" width="10.77734375" bestFit="1" customWidth="1"/>
    <col min="26" max="26" width="11.44140625" bestFit="1" customWidth="1"/>
    <col min="27" max="27" width="9" style="17" bestFit="1" customWidth="1"/>
    <col min="28" max="28" width="12.6640625" bestFit="1" customWidth="1"/>
    <col min="29" max="29" width="16.109375" bestFit="1" customWidth="1"/>
  </cols>
  <sheetData>
    <row r="1" spans="1:29">
      <c r="A1" s="22" t="s">
        <v>289</v>
      </c>
      <c r="B1" s="22"/>
      <c r="D1" s="22" t="s">
        <v>290</v>
      </c>
      <c r="E1" s="22"/>
      <c r="G1" s="22" t="s">
        <v>293</v>
      </c>
      <c r="H1" s="22"/>
      <c r="J1" s="22" t="s">
        <v>295</v>
      </c>
      <c r="K1" s="22"/>
      <c r="M1" s="22" t="s">
        <v>296</v>
      </c>
      <c r="N1" s="22"/>
      <c r="P1" s="22" t="s">
        <v>297</v>
      </c>
      <c r="Q1" s="22"/>
      <c r="S1" s="22" t="s">
        <v>299</v>
      </c>
      <c r="T1" s="22"/>
      <c r="V1" s="22" t="s">
        <v>302</v>
      </c>
      <c r="W1" s="22"/>
      <c r="Y1" s="22" t="s">
        <v>303</v>
      </c>
      <c r="Z1" s="22"/>
      <c r="AB1" s="22" t="s">
        <v>304</v>
      </c>
      <c r="AC1" s="22"/>
    </row>
    <row r="2" spans="1:29">
      <c r="A2" s="22"/>
      <c r="B2" s="22"/>
      <c r="D2" s="22"/>
      <c r="E2" s="22"/>
      <c r="G2" s="22"/>
      <c r="H2" s="22"/>
      <c r="J2" s="22"/>
      <c r="K2" s="22"/>
      <c r="M2" s="22"/>
      <c r="N2" s="22"/>
      <c r="P2" s="22"/>
      <c r="Q2" s="22"/>
      <c r="S2" s="22"/>
      <c r="T2" s="22"/>
      <c r="V2" s="22"/>
      <c r="W2" s="22"/>
      <c r="Y2" s="22"/>
      <c r="Z2" s="22"/>
      <c r="AB2" s="22"/>
      <c r="AC2" s="22"/>
    </row>
    <row r="3" spans="1:29">
      <c r="A3" s="22"/>
      <c r="B3" s="22"/>
      <c r="D3" s="22"/>
      <c r="E3" s="22"/>
      <c r="G3" s="22"/>
      <c r="H3" s="22"/>
      <c r="J3" s="22"/>
      <c r="K3" s="22"/>
      <c r="M3" s="22"/>
      <c r="N3" s="22"/>
      <c r="P3" s="22"/>
      <c r="Q3" s="22"/>
      <c r="S3" s="22"/>
      <c r="T3" s="22"/>
      <c r="V3" s="22"/>
      <c r="W3" s="22"/>
      <c r="Y3" s="22"/>
      <c r="Z3" s="22"/>
      <c r="AB3" s="22"/>
      <c r="AC3" s="22"/>
    </row>
    <row r="10" spans="1:29">
      <c r="A10" s="14" t="s">
        <v>137</v>
      </c>
      <c r="B10" t="s">
        <v>288</v>
      </c>
      <c r="D10" t="s">
        <v>292</v>
      </c>
      <c r="G10" t="s">
        <v>294</v>
      </c>
      <c r="J10" s="14" t="s">
        <v>306</v>
      </c>
      <c r="K10" t="s">
        <v>285</v>
      </c>
      <c r="M10" s="14" t="s">
        <v>231</v>
      </c>
      <c r="N10" t="s">
        <v>291</v>
      </c>
      <c r="P10" s="14" t="s">
        <v>129</v>
      </c>
      <c r="Q10" t="s">
        <v>298</v>
      </c>
      <c r="S10" s="14" t="s">
        <v>310</v>
      </c>
      <c r="T10" t="s">
        <v>301</v>
      </c>
      <c r="V10" s="14" t="s">
        <v>137</v>
      </c>
      <c r="W10" t="s">
        <v>301</v>
      </c>
      <c r="Y10" s="14" t="s">
        <v>317</v>
      </c>
      <c r="Z10" t="s">
        <v>291</v>
      </c>
      <c r="AB10" s="14" t="s">
        <v>286</v>
      </c>
      <c r="AC10" t="s">
        <v>305</v>
      </c>
    </row>
    <row r="11" spans="1:29">
      <c r="D11" s="23">
        <v>111</v>
      </c>
      <c r="G11" s="16">
        <v>9973.3879769369378</v>
      </c>
      <c r="J11" s="15" t="s">
        <v>4</v>
      </c>
      <c r="K11" s="16">
        <v>781837</v>
      </c>
      <c r="M11" s="15" t="s">
        <v>105</v>
      </c>
      <c r="N11" s="18">
        <v>0.68292682926829273</v>
      </c>
      <c r="P11" s="15" t="s">
        <v>118</v>
      </c>
      <c r="Q11" s="23">
        <v>16</v>
      </c>
      <c r="S11" s="15" t="s">
        <v>300</v>
      </c>
      <c r="T11" s="18">
        <v>0.4823529411764706</v>
      </c>
      <c r="V11" s="15" t="s">
        <v>139</v>
      </c>
      <c r="W11" s="18">
        <v>0.8</v>
      </c>
      <c r="Y11" s="15" t="s">
        <v>316</v>
      </c>
      <c r="Z11" s="23">
        <v>1</v>
      </c>
      <c r="AB11" s="15" t="s">
        <v>278</v>
      </c>
      <c r="AC11" s="18">
        <v>0.72972972972972971</v>
      </c>
    </row>
    <row r="12" spans="1:29">
      <c r="A12" t="s">
        <v>285</v>
      </c>
      <c r="J12" s="15" t="s">
        <v>36</v>
      </c>
      <c r="K12" s="16">
        <v>181562.5</v>
      </c>
      <c r="M12" s="15" t="s">
        <v>115</v>
      </c>
      <c r="N12" s="18">
        <v>0.15447154471544716</v>
      </c>
      <c r="P12" s="15" t="s">
        <v>119</v>
      </c>
      <c r="Q12" s="23">
        <v>12</v>
      </c>
      <c r="S12" s="15" t="s">
        <v>318</v>
      </c>
      <c r="T12" s="18">
        <v>0.51764705882352946</v>
      </c>
      <c r="V12" s="15" t="s">
        <v>311</v>
      </c>
      <c r="W12" s="18">
        <v>0.2</v>
      </c>
      <c r="Y12" s="15" t="s">
        <v>312</v>
      </c>
      <c r="Z12" s="23">
        <v>5</v>
      </c>
      <c r="AB12" s="15" t="s">
        <v>279</v>
      </c>
      <c r="AC12" s="18">
        <v>0.27027027027027029</v>
      </c>
    </row>
    <row r="13" spans="1:29">
      <c r="A13" s="16">
        <v>1156207.31544</v>
      </c>
      <c r="D13">
        <f>GETPIVOTDATA("اسم العميل ",$D$10)</f>
        <v>111</v>
      </c>
      <c r="G13" s="13"/>
      <c r="J13" s="15" t="s">
        <v>28</v>
      </c>
      <c r="K13" s="16">
        <v>70650</v>
      </c>
      <c r="M13" s="15" t="s">
        <v>202</v>
      </c>
      <c r="N13" s="18">
        <v>0.13821138211382114</v>
      </c>
      <c r="P13" s="15" t="s">
        <v>181</v>
      </c>
      <c r="Q13" s="23">
        <v>3</v>
      </c>
      <c r="S13" s="15" t="s">
        <v>287</v>
      </c>
      <c r="T13" s="18">
        <v>1</v>
      </c>
      <c r="V13" s="15" t="s">
        <v>287</v>
      </c>
      <c r="W13" s="18">
        <v>1</v>
      </c>
      <c r="Y13" s="15" t="s">
        <v>314</v>
      </c>
      <c r="Z13" s="23">
        <v>3</v>
      </c>
      <c r="AB13" s="15" t="s">
        <v>287</v>
      </c>
      <c r="AC13" s="18">
        <v>1</v>
      </c>
    </row>
    <row r="14" spans="1:29">
      <c r="G14" s="13">
        <f>GETPIVOTDATA("سعر الوحده",$G$10)</f>
        <v>9973.3879769369378</v>
      </c>
      <c r="J14" s="15" t="s">
        <v>307</v>
      </c>
      <c r="K14" s="16">
        <v>54511.91</v>
      </c>
      <c r="M14" s="15" t="s">
        <v>282</v>
      </c>
      <c r="N14" s="18">
        <v>1.6260162601626018E-2</v>
      </c>
      <c r="P14" s="15" t="s">
        <v>209</v>
      </c>
      <c r="Q14" s="23">
        <v>3</v>
      </c>
      <c r="Y14" s="15" t="s">
        <v>271</v>
      </c>
      <c r="Z14" s="23">
        <v>22</v>
      </c>
    </row>
    <row r="15" spans="1:29">
      <c r="A15" s="13">
        <f>GETPIVOTDATA("سعر البيع ",$A$12)</f>
        <v>1156207.31544</v>
      </c>
      <c r="J15" s="15" t="s">
        <v>194</v>
      </c>
      <c r="K15" s="16">
        <v>27450</v>
      </c>
      <c r="M15" s="15" t="s">
        <v>112</v>
      </c>
      <c r="N15" s="18">
        <v>8.130081300813009E-3</v>
      </c>
      <c r="P15" s="15" t="s">
        <v>153</v>
      </c>
      <c r="Q15" s="23">
        <v>3</v>
      </c>
      <c r="T15" s="21">
        <f>GETPIVOTDATA("الحالة",$S$10,"التسليم فى الموعد","تم التسليم في الموعد")</f>
        <v>0.4823529411764706</v>
      </c>
      <c r="Y15" s="15" t="s">
        <v>150</v>
      </c>
      <c r="Z15" s="23">
        <v>7</v>
      </c>
    </row>
    <row r="16" spans="1:29">
      <c r="J16" s="15" t="s">
        <v>150</v>
      </c>
      <c r="K16" s="16">
        <v>23144.905440000002</v>
      </c>
      <c r="M16" s="15" t="s">
        <v>287</v>
      </c>
      <c r="N16" s="18">
        <v>1</v>
      </c>
      <c r="P16" s="15" t="s">
        <v>123</v>
      </c>
      <c r="Q16" s="23">
        <v>8</v>
      </c>
      <c r="Y16" s="15" t="s">
        <v>272</v>
      </c>
      <c r="Z16" s="23">
        <v>60</v>
      </c>
    </row>
    <row r="17" spans="10:26">
      <c r="J17" s="15" t="s">
        <v>182</v>
      </c>
      <c r="K17" s="16">
        <v>9655</v>
      </c>
      <c r="P17" s="15" t="s">
        <v>281</v>
      </c>
      <c r="Q17" s="23">
        <v>57</v>
      </c>
      <c r="Y17" s="15" t="s">
        <v>315</v>
      </c>
      <c r="Z17" s="23">
        <v>12</v>
      </c>
    </row>
    <row r="18" spans="10:26">
      <c r="J18" s="15" t="s">
        <v>308</v>
      </c>
      <c r="K18" s="16">
        <v>7396</v>
      </c>
      <c r="P18" s="15" t="s">
        <v>121</v>
      </c>
      <c r="Q18" s="23">
        <v>2</v>
      </c>
      <c r="Y18" s="15" t="s">
        <v>283</v>
      </c>
      <c r="Z18" s="23">
        <v>11</v>
      </c>
    </row>
    <row r="19" spans="10:26">
      <c r="J19" s="15" t="s">
        <v>287</v>
      </c>
      <c r="K19" s="16">
        <v>1156207.31544</v>
      </c>
      <c r="P19" s="15" t="s">
        <v>309</v>
      </c>
      <c r="Q19" s="23">
        <v>2</v>
      </c>
      <c r="Y19" s="15" t="s">
        <v>313</v>
      </c>
      <c r="Z19" s="23">
        <v>2</v>
      </c>
    </row>
    <row r="20" spans="10:26">
      <c r="P20" s="15" t="s">
        <v>287</v>
      </c>
      <c r="Q20" s="23">
        <v>106</v>
      </c>
      <c r="Y20" s="15" t="s">
        <v>287</v>
      </c>
      <c r="Z20" s="23">
        <v>123</v>
      </c>
    </row>
  </sheetData>
  <mergeCells count="10">
    <mergeCell ref="A1:B3"/>
    <mergeCell ref="D1:E3"/>
    <mergeCell ref="Y1:Z3"/>
    <mergeCell ref="AB1:AC3"/>
    <mergeCell ref="G1:H3"/>
    <mergeCell ref="J1:K3"/>
    <mergeCell ref="M1:N3"/>
    <mergeCell ref="P1:Q3"/>
    <mergeCell ref="S1:T3"/>
    <mergeCell ref="V1:W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DB62-484E-4ECC-AD2C-807DB2815639}">
  <dimension ref="A1:X126"/>
  <sheetViews>
    <sheetView zoomScale="67" workbookViewId="0"/>
  </sheetViews>
  <sheetFormatPr defaultRowHeight="14.4"/>
  <cols>
    <col min="1" max="1" width="15.44140625" bestFit="1" customWidth="1"/>
    <col min="2" max="2" width="10.44140625" bestFit="1" customWidth="1"/>
    <col min="3" max="3" width="30" bestFit="1" customWidth="1"/>
    <col min="4" max="4" width="9.6640625" bestFit="1" customWidth="1"/>
    <col min="5" max="6" width="9.6640625" customWidth="1"/>
    <col min="7" max="7" width="11.33203125" style="12" bestFit="1" customWidth="1"/>
    <col min="8" max="8" width="17.44140625" style="12" customWidth="1"/>
    <col min="9" max="9" width="8.109375" bestFit="1" customWidth="1"/>
    <col min="10" max="10" width="11.6640625" bestFit="1" customWidth="1"/>
    <col min="11" max="11" width="11.6640625" customWidth="1"/>
    <col min="12" max="12" width="34.44140625" bestFit="1" customWidth="1"/>
    <col min="13" max="13" width="11.88671875" customWidth="1"/>
    <col min="14" max="14" width="20.44140625" style="13" customWidth="1"/>
    <col min="15" max="15" width="11" bestFit="1" customWidth="1"/>
    <col min="16" max="16" width="11.5546875" bestFit="1" customWidth="1"/>
    <col min="17" max="17" width="17.109375" bestFit="1" customWidth="1"/>
    <col min="18" max="18" width="17.21875" bestFit="1" customWidth="1"/>
    <col min="19" max="19" width="17.21875" customWidth="1"/>
    <col min="20" max="20" width="11.77734375" style="11" bestFit="1" customWidth="1"/>
    <col min="21" max="21" width="12.44140625" style="11" bestFit="1" customWidth="1"/>
    <col min="22" max="22" width="12.6640625" style="11" bestFit="1" customWidth="1"/>
    <col min="23" max="23" width="22.77734375" bestFit="1" customWidth="1"/>
    <col min="24" max="24" width="16.44140625" customWidth="1"/>
  </cols>
  <sheetData>
    <row r="1" spans="1:24">
      <c r="A1" t="s">
        <v>235</v>
      </c>
      <c r="B1" t="s">
        <v>234</v>
      </c>
      <c r="C1" t="s">
        <v>0</v>
      </c>
      <c r="D1" t="s">
        <v>270</v>
      </c>
      <c r="E1" t="s">
        <v>306</v>
      </c>
      <c r="F1" t="s">
        <v>231</v>
      </c>
      <c r="G1" s="12" t="s">
        <v>232</v>
      </c>
      <c r="H1" s="12" t="s">
        <v>233</v>
      </c>
      <c r="I1" t="s">
        <v>125</v>
      </c>
      <c r="J1" t="s">
        <v>128</v>
      </c>
      <c r="K1" t="s">
        <v>129</v>
      </c>
      <c r="L1" t="s">
        <v>1</v>
      </c>
      <c r="M1" t="s">
        <v>280</v>
      </c>
      <c r="N1" s="13" t="s">
        <v>284</v>
      </c>
      <c r="O1" t="s">
        <v>5</v>
      </c>
      <c r="P1" t="s">
        <v>276</v>
      </c>
      <c r="Q1" t="s">
        <v>273</v>
      </c>
      <c r="R1" t="s">
        <v>274</v>
      </c>
      <c r="S1" t="s">
        <v>310</v>
      </c>
      <c r="T1" s="11" t="s">
        <v>7</v>
      </c>
      <c r="U1" s="11" t="s">
        <v>6</v>
      </c>
      <c r="V1" s="11" t="s">
        <v>2</v>
      </c>
      <c r="W1" t="s">
        <v>3</v>
      </c>
      <c r="X1" t="s">
        <v>137</v>
      </c>
    </row>
    <row r="2" spans="1:24">
      <c r="A2" t="s">
        <v>236</v>
      </c>
      <c r="B2" t="s">
        <v>278</v>
      </c>
      <c r="C2" t="s">
        <v>8</v>
      </c>
      <c r="D2" s="19" t="s">
        <v>271</v>
      </c>
      <c r="E2" t="s">
        <v>4</v>
      </c>
      <c r="F2" t="s">
        <v>105</v>
      </c>
      <c r="G2" s="12" t="s">
        <v>106</v>
      </c>
      <c r="J2" t="s">
        <v>281</v>
      </c>
      <c r="K2" t="s">
        <v>118</v>
      </c>
      <c r="L2" t="s">
        <v>9</v>
      </c>
      <c r="M2">
        <v>1</v>
      </c>
      <c r="N2" s="13">
        <f>Table1_1[[#This Row],[سعر البيع ]]/Table1_1[[#This Row],[الكمية]]</f>
        <v>10160</v>
      </c>
      <c r="O2">
        <v>10160</v>
      </c>
      <c r="P2" t="s">
        <v>10</v>
      </c>
      <c r="Q2">
        <v>0</v>
      </c>
      <c r="R2">
        <v>14</v>
      </c>
      <c r="T2" s="11">
        <v>45500</v>
      </c>
      <c r="V2" s="11">
        <v>45514</v>
      </c>
      <c r="W2" t="s">
        <v>20</v>
      </c>
      <c r="X2" t="s">
        <v>139</v>
      </c>
    </row>
    <row r="3" spans="1:24">
      <c r="A3" t="s">
        <v>11</v>
      </c>
      <c r="B3" t="s">
        <v>278</v>
      </c>
      <c r="C3" t="s">
        <v>12</v>
      </c>
      <c r="D3" s="19" t="s">
        <v>312</v>
      </c>
      <c r="E3" t="s">
        <v>4</v>
      </c>
      <c r="F3" t="s">
        <v>105</v>
      </c>
      <c r="G3" s="12" t="s">
        <v>106</v>
      </c>
      <c r="J3" t="s">
        <v>281</v>
      </c>
      <c r="K3" t="s">
        <v>119</v>
      </c>
      <c r="L3" t="s">
        <v>13</v>
      </c>
      <c r="M3">
        <v>1</v>
      </c>
      <c r="N3" s="13">
        <f>Table1_1[[#This Row],[سعر البيع ]]/Table1_1[[#This Row],[الكمية]]</f>
        <v>10160</v>
      </c>
      <c r="O3">
        <v>10160</v>
      </c>
      <c r="P3" t="s">
        <v>275</v>
      </c>
      <c r="Q3">
        <v>0</v>
      </c>
      <c r="R3">
        <v>14</v>
      </c>
      <c r="T3" s="11">
        <v>45501</v>
      </c>
      <c r="V3" s="11">
        <v>45515</v>
      </c>
      <c r="W3" t="s">
        <v>20</v>
      </c>
      <c r="X3" t="s">
        <v>139</v>
      </c>
    </row>
    <row r="4" spans="1:24">
      <c r="A4" t="s">
        <v>14</v>
      </c>
      <c r="B4" t="s">
        <v>278</v>
      </c>
      <c r="C4" t="s">
        <v>15</v>
      </c>
      <c r="D4" s="19" t="s">
        <v>313</v>
      </c>
      <c r="E4" t="s">
        <v>4</v>
      </c>
      <c r="F4" t="s">
        <v>105</v>
      </c>
      <c r="G4" s="12" t="s">
        <v>117</v>
      </c>
      <c r="H4" s="12" t="s">
        <v>110</v>
      </c>
      <c r="I4">
        <v>90</v>
      </c>
      <c r="J4" t="s">
        <v>121</v>
      </c>
      <c r="K4" t="s">
        <v>121</v>
      </c>
      <c r="L4" t="s">
        <v>16</v>
      </c>
      <c r="M4">
        <v>1</v>
      </c>
      <c r="N4" s="13">
        <f>Table1_1[[#This Row],[سعر البيع ]]/Table1_1[[#This Row],[الكمية]]</f>
        <v>11455</v>
      </c>
      <c r="O4">
        <v>11455</v>
      </c>
      <c r="P4" t="s">
        <v>275</v>
      </c>
      <c r="Q4">
        <v>0</v>
      </c>
      <c r="R4">
        <v>0</v>
      </c>
      <c r="T4" s="11">
        <v>45500</v>
      </c>
      <c r="X4" t="s">
        <v>311</v>
      </c>
    </row>
    <row r="5" spans="1:24">
      <c r="A5" t="s">
        <v>17</v>
      </c>
      <c r="B5" t="s">
        <v>278</v>
      </c>
      <c r="C5" t="s">
        <v>18</v>
      </c>
      <c r="D5" s="19" t="s">
        <v>314</v>
      </c>
      <c r="E5" t="s">
        <v>4</v>
      </c>
      <c r="F5" t="s">
        <v>202</v>
      </c>
      <c r="J5" t="s">
        <v>281</v>
      </c>
      <c r="K5" t="s">
        <v>281</v>
      </c>
      <c r="L5" t="s">
        <v>19</v>
      </c>
      <c r="M5">
        <v>1</v>
      </c>
      <c r="N5" s="13">
        <f>Table1_1[[#This Row],[سعر البيع ]]/Table1_1[[#This Row],[الكمية]]</f>
        <v>8642</v>
      </c>
      <c r="O5">
        <v>8642</v>
      </c>
      <c r="P5" t="s">
        <v>10</v>
      </c>
      <c r="Q5">
        <v>13</v>
      </c>
      <c r="R5">
        <v>2</v>
      </c>
      <c r="S5" t="str">
        <f>IF(Table1_1[[#This Row],[مده التسليم (الفعلى)]]&lt;=Table1_1[[#This Row],[مده التسليم(الهدف)]],"تم التسليم في الموعد","لم يتم التسليم في الموعد")</f>
        <v>تم التسليم في الموعد</v>
      </c>
      <c r="T5" s="11">
        <v>45529</v>
      </c>
      <c r="U5" s="11">
        <v>45542</v>
      </c>
      <c r="V5" s="11">
        <v>45531</v>
      </c>
      <c r="W5" t="s">
        <v>20</v>
      </c>
      <c r="X5" t="s">
        <v>139</v>
      </c>
    </row>
    <row r="6" spans="1:24">
      <c r="A6" t="s">
        <v>237</v>
      </c>
      <c r="B6" t="s">
        <v>278</v>
      </c>
      <c r="C6" t="s">
        <v>15</v>
      </c>
      <c r="D6" s="19" t="s">
        <v>313</v>
      </c>
      <c r="E6" t="s">
        <v>4</v>
      </c>
      <c r="F6" t="s">
        <v>105</v>
      </c>
      <c r="G6" s="12" t="s">
        <v>117</v>
      </c>
      <c r="H6" s="12" t="s">
        <v>107</v>
      </c>
      <c r="I6">
        <v>100</v>
      </c>
      <c r="J6" t="s">
        <v>123</v>
      </c>
      <c r="K6" t="s">
        <v>123</v>
      </c>
      <c r="L6" t="s">
        <v>21</v>
      </c>
      <c r="M6">
        <v>1</v>
      </c>
      <c r="N6" s="13">
        <f>Table1_1[[#This Row],[سعر البيع ]]/Table1_1[[#This Row],[الكمية]]</f>
        <v>12833</v>
      </c>
      <c r="O6">
        <v>12833</v>
      </c>
      <c r="P6" t="s">
        <v>275</v>
      </c>
      <c r="Q6">
        <v>15</v>
      </c>
      <c r="R6">
        <v>0</v>
      </c>
      <c r="T6" s="11">
        <v>45520</v>
      </c>
      <c r="U6" s="11">
        <v>45535</v>
      </c>
      <c r="X6" t="s">
        <v>311</v>
      </c>
    </row>
    <row r="7" spans="1:24">
      <c r="A7" t="s">
        <v>36</v>
      </c>
      <c r="B7" t="s">
        <v>279</v>
      </c>
      <c r="D7" s="19" t="s">
        <v>283</v>
      </c>
      <c r="E7" t="s">
        <v>36</v>
      </c>
      <c r="F7" t="s">
        <v>115</v>
      </c>
      <c r="G7" s="12" t="s">
        <v>116</v>
      </c>
      <c r="J7" t="s">
        <v>281</v>
      </c>
      <c r="K7" t="s">
        <v>123</v>
      </c>
      <c r="L7" t="s">
        <v>22</v>
      </c>
      <c r="M7">
        <v>1</v>
      </c>
      <c r="N7" s="13">
        <f>Table1_1[[#This Row],[سعر البيع ]]/Table1_1[[#This Row],[الكمية]]</f>
        <v>14550</v>
      </c>
      <c r="O7">
        <v>14550</v>
      </c>
      <c r="P7" t="s">
        <v>10</v>
      </c>
      <c r="Q7">
        <v>20</v>
      </c>
      <c r="R7">
        <v>22</v>
      </c>
      <c r="S7" t="str">
        <f>IF(Table1_1[[#This Row],[مده التسليم (الفعلى)]]&lt;=Table1_1[[#This Row],[مده التسليم(الهدف)]],"تم التسليم في الموعد","لم يتم التسليم في الموعد")</f>
        <v>لم يتم التسليم في الموعد</v>
      </c>
      <c r="T7" s="11">
        <v>45518</v>
      </c>
      <c r="U7" s="11">
        <v>45538</v>
      </c>
      <c r="V7" s="11">
        <v>45540</v>
      </c>
      <c r="W7" t="s">
        <v>20</v>
      </c>
      <c r="X7" t="s">
        <v>139</v>
      </c>
    </row>
    <row r="8" spans="1:24">
      <c r="A8" t="s">
        <v>238</v>
      </c>
      <c r="B8" t="s">
        <v>278</v>
      </c>
      <c r="C8" t="s">
        <v>23</v>
      </c>
      <c r="D8" s="19" t="s">
        <v>272</v>
      </c>
      <c r="E8" t="s">
        <v>194</v>
      </c>
      <c r="F8" t="s">
        <v>115</v>
      </c>
      <c r="G8" s="12" t="s">
        <v>116</v>
      </c>
      <c r="J8" t="s">
        <v>281</v>
      </c>
      <c r="K8" t="s">
        <v>123</v>
      </c>
      <c r="L8" t="s">
        <v>22</v>
      </c>
      <c r="M8">
        <v>1</v>
      </c>
      <c r="N8" s="13">
        <f>Table1_1[[#This Row],[سعر البيع ]]/Table1_1[[#This Row],[الكمية]]</f>
        <v>12000</v>
      </c>
      <c r="O8">
        <v>12000</v>
      </c>
      <c r="P8" t="s">
        <v>275</v>
      </c>
      <c r="Q8">
        <v>3</v>
      </c>
      <c r="R8">
        <v>2</v>
      </c>
      <c r="S8" t="str">
        <f>IF(Table1_1[[#This Row],[مده التسليم (الفعلى)]]&lt;=Table1_1[[#This Row],[مده التسليم(الهدف)]],"تم التسليم في الموعد","لم يتم التسليم في الموعد")</f>
        <v>تم التسليم في الموعد</v>
      </c>
      <c r="T8" s="11">
        <v>45521</v>
      </c>
      <c r="U8" s="11">
        <v>45524</v>
      </c>
      <c r="V8" s="11">
        <v>45523</v>
      </c>
      <c r="W8" t="s">
        <v>20</v>
      </c>
      <c r="X8" t="s">
        <v>139</v>
      </c>
    </row>
    <row r="9" spans="1:24">
      <c r="A9" t="s">
        <v>24</v>
      </c>
      <c r="B9" t="s">
        <v>278</v>
      </c>
      <c r="C9" t="s">
        <v>25</v>
      </c>
      <c r="D9" s="19" t="s">
        <v>271</v>
      </c>
      <c r="E9" t="s">
        <v>4</v>
      </c>
      <c r="F9" t="s">
        <v>105</v>
      </c>
      <c r="G9" s="12" t="s">
        <v>108</v>
      </c>
      <c r="J9" t="s">
        <v>281</v>
      </c>
      <c r="K9" t="s">
        <v>118</v>
      </c>
      <c r="L9" t="s">
        <v>26</v>
      </c>
      <c r="M9">
        <v>1</v>
      </c>
      <c r="N9" s="13">
        <f>Table1_1[[#This Row],[سعر البيع ]]/Table1_1[[#This Row],[الكمية]]</f>
        <v>7228</v>
      </c>
      <c r="O9">
        <v>7228</v>
      </c>
      <c r="P9" t="s">
        <v>10</v>
      </c>
      <c r="Q9">
        <v>9</v>
      </c>
      <c r="R9">
        <v>16</v>
      </c>
      <c r="S9" t="str">
        <f>IF(Table1_1[[#This Row],[مده التسليم (الفعلى)]]&lt;=Table1_1[[#This Row],[مده التسليم(الهدف)]],"تم التسليم في الموعد","لم يتم التسليم في الموعد")</f>
        <v>لم يتم التسليم في الموعد</v>
      </c>
      <c r="T9" s="11">
        <v>45529</v>
      </c>
      <c r="U9" s="11">
        <v>45538</v>
      </c>
      <c r="V9" s="11">
        <v>45545</v>
      </c>
      <c r="W9" t="s">
        <v>20</v>
      </c>
      <c r="X9" t="s">
        <v>139</v>
      </c>
    </row>
    <row r="10" spans="1:24">
      <c r="A10" t="s">
        <v>269</v>
      </c>
      <c r="B10" t="s">
        <v>279</v>
      </c>
      <c r="C10" t="s">
        <v>27</v>
      </c>
      <c r="D10" s="19" t="s">
        <v>272</v>
      </c>
      <c r="E10" t="s">
        <v>28</v>
      </c>
      <c r="F10" t="s">
        <v>112</v>
      </c>
      <c r="G10" s="12" t="s">
        <v>114</v>
      </c>
      <c r="J10" t="s">
        <v>281</v>
      </c>
      <c r="K10" t="s">
        <v>281</v>
      </c>
      <c r="L10" t="s">
        <v>29</v>
      </c>
      <c r="M10">
        <v>1</v>
      </c>
      <c r="N10" s="13">
        <f>Table1_1[[#This Row],[سعر البيع ]]/Table1_1[[#This Row],[الكمية]]</f>
        <v>22000</v>
      </c>
      <c r="O10">
        <v>22000</v>
      </c>
      <c r="P10" t="s">
        <v>275</v>
      </c>
      <c r="Q10">
        <v>13</v>
      </c>
      <c r="R10">
        <v>29</v>
      </c>
      <c r="S10" t="str">
        <f>IF(Table1_1[[#This Row],[مده التسليم (الفعلى)]]&lt;=Table1_1[[#This Row],[مده التسليم(الهدف)]],"تم التسليم في الموعد","لم يتم التسليم في الموعد")</f>
        <v>لم يتم التسليم في الموعد</v>
      </c>
      <c r="T10" s="11">
        <v>45523</v>
      </c>
      <c r="U10" s="11">
        <v>45536</v>
      </c>
      <c r="V10" s="11">
        <v>45552</v>
      </c>
      <c r="X10" t="s">
        <v>139</v>
      </c>
    </row>
    <row r="11" spans="1:24">
      <c r="A11" t="s">
        <v>269</v>
      </c>
      <c r="B11" t="s">
        <v>279</v>
      </c>
      <c r="C11" t="s">
        <v>27</v>
      </c>
      <c r="D11" s="19" t="s">
        <v>272</v>
      </c>
      <c r="E11" t="s">
        <v>28</v>
      </c>
      <c r="F11" t="s">
        <v>115</v>
      </c>
      <c r="G11" s="12" t="s">
        <v>113</v>
      </c>
      <c r="J11" t="s">
        <v>281</v>
      </c>
      <c r="K11" t="s">
        <v>281</v>
      </c>
      <c r="L11" t="s">
        <v>30</v>
      </c>
      <c r="M11">
        <v>2</v>
      </c>
      <c r="N11" s="13">
        <f>Table1_1[[#This Row],[سعر البيع ]]/Table1_1[[#This Row],[الكمية]]</f>
        <v>8000</v>
      </c>
      <c r="O11">
        <v>16000</v>
      </c>
      <c r="P11" t="s">
        <v>275</v>
      </c>
      <c r="Q11">
        <v>0</v>
      </c>
      <c r="R11">
        <v>0</v>
      </c>
      <c r="X11" t="s">
        <v>311</v>
      </c>
    </row>
    <row r="12" spans="1:24">
      <c r="A12" t="s">
        <v>269</v>
      </c>
      <c r="B12" t="s">
        <v>279</v>
      </c>
      <c r="C12" t="s">
        <v>31</v>
      </c>
      <c r="D12" s="19" t="s">
        <v>272</v>
      </c>
      <c r="E12" t="s">
        <v>28</v>
      </c>
      <c r="F12" t="s">
        <v>115</v>
      </c>
      <c r="G12" s="12" t="s">
        <v>113</v>
      </c>
      <c r="J12" t="s">
        <v>281</v>
      </c>
      <c r="K12" t="s">
        <v>281</v>
      </c>
      <c r="L12" t="s">
        <v>32</v>
      </c>
      <c r="M12">
        <v>2</v>
      </c>
      <c r="N12" s="13">
        <f>Table1_1[[#This Row],[سعر البيع ]]/Table1_1[[#This Row],[الكمية]]</f>
        <v>3000</v>
      </c>
      <c r="O12">
        <v>6000</v>
      </c>
      <c r="P12" t="s">
        <v>275</v>
      </c>
      <c r="Q12">
        <v>21</v>
      </c>
      <c r="R12">
        <v>23</v>
      </c>
      <c r="S12" t="str">
        <f>IF(Table1_1[[#This Row],[مده التسليم (الفعلى)]]&lt;=Table1_1[[#This Row],[مده التسليم(الهدف)]],"تم التسليم في الموعد","لم يتم التسليم في الموعد")</f>
        <v>لم يتم التسليم في الموعد</v>
      </c>
      <c r="T12" s="11">
        <v>45529</v>
      </c>
      <c r="U12" s="11">
        <v>45550</v>
      </c>
      <c r="V12" s="11">
        <v>45552</v>
      </c>
      <c r="W12" t="s">
        <v>140</v>
      </c>
      <c r="X12" t="s">
        <v>139</v>
      </c>
    </row>
    <row r="13" spans="1:24">
      <c r="A13" t="s">
        <v>239</v>
      </c>
      <c r="B13" t="s">
        <v>278</v>
      </c>
      <c r="C13" t="s">
        <v>33</v>
      </c>
      <c r="D13" s="19" t="s">
        <v>272</v>
      </c>
      <c r="E13" t="s">
        <v>4</v>
      </c>
      <c r="F13" t="s">
        <v>105</v>
      </c>
      <c r="G13" s="12" t="s">
        <v>117</v>
      </c>
      <c r="H13" s="12" t="s">
        <v>107</v>
      </c>
      <c r="I13">
        <v>80</v>
      </c>
      <c r="J13" t="s">
        <v>118</v>
      </c>
      <c r="K13" t="s">
        <v>118</v>
      </c>
      <c r="L13" t="s">
        <v>34</v>
      </c>
      <c r="M13">
        <v>1</v>
      </c>
      <c r="N13" s="13">
        <f>Table1_1[[#This Row],[سعر البيع ]]/Table1_1[[#This Row],[الكمية]]</f>
        <v>10499</v>
      </c>
      <c r="O13">
        <v>10499</v>
      </c>
      <c r="P13" t="s">
        <v>275</v>
      </c>
      <c r="Q13">
        <v>15</v>
      </c>
      <c r="R13">
        <v>7</v>
      </c>
      <c r="S13" t="str">
        <f>IF(Table1_1[[#This Row],[مده التسليم (الفعلى)]]&lt;=Table1_1[[#This Row],[مده التسليم(الهدف)]],"تم التسليم في الموعد","لم يتم التسليم في الموعد")</f>
        <v>تم التسليم في الموعد</v>
      </c>
      <c r="T13" s="11">
        <v>45536</v>
      </c>
      <c r="U13" s="11">
        <v>45551</v>
      </c>
      <c r="V13" s="11">
        <v>45543</v>
      </c>
      <c r="W13" t="s">
        <v>20</v>
      </c>
      <c r="X13" t="s">
        <v>139</v>
      </c>
    </row>
    <row r="14" spans="1:24">
      <c r="A14" t="s">
        <v>240</v>
      </c>
      <c r="B14" t="s">
        <v>278</v>
      </c>
      <c r="C14" t="s">
        <v>25</v>
      </c>
      <c r="D14" s="19" t="s">
        <v>271</v>
      </c>
      <c r="E14" t="s">
        <v>4</v>
      </c>
      <c r="F14" t="s">
        <v>105</v>
      </c>
      <c r="G14" s="12" t="s">
        <v>108</v>
      </c>
      <c r="H14" s="12" t="s">
        <v>107</v>
      </c>
      <c r="I14">
        <v>80</v>
      </c>
      <c r="J14" t="s">
        <v>118</v>
      </c>
      <c r="K14" t="s">
        <v>118</v>
      </c>
      <c r="L14" t="s">
        <v>46</v>
      </c>
      <c r="M14">
        <v>1</v>
      </c>
      <c r="N14" s="13">
        <f>Table1_1[[#This Row],[سعر البيع ]]/Table1_1[[#This Row],[الكمية]]</f>
        <v>7295</v>
      </c>
      <c r="O14">
        <v>7295</v>
      </c>
      <c r="P14" t="s">
        <v>275</v>
      </c>
      <c r="Q14">
        <v>9</v>
      </c>
      <c r="R14">
        <v>0</v>
      </c>
      <c r="T14" s="11">
        <v>45540</v>
      </c>
      <c r="U14" s="11">
        <v>45549</v>
      </c>
      <c r="X14" t="s">
        <v>311</v>
      </c>
    </row>
    <row r="15" spans="1:24">
      <c r="A15" t="s">
        <v>241</v>
      </c>
      <c r="B15" t="s">
        <v>278</v>
      </c>
      <c r="C15" t="s">
        <v>43</v>
      </c>
      <c r="D15" s="19" t="s">
        <v>272</v>
      </c>
      <c r="E15" t="s">
        <v>4</v>
      </c>
      <c r="F15" t="s">
        <v>202</v>
      </c>
      <c r="G15" s="12" t="s">
        <v>134</v>
      </c>
      <c r="J15" t="s">
        <v>281</v>
      </c>
      <c r="K15" t="s">
        <v>281</v>
      </c>
      <c r="L15" t="s">
        <v>44</v>
      </c>
      <c r="M15">
        <v>1</v>
      </c>
      <c r="N15" s="13">
        <f>Table1_1[[#This Row],[سعر البيع ]]/Table1_1[[#This Row],[الكمية]]</f>
        <v>7849</v>
      </c>
      <c r="O15">
        <v>7849</v>
      </c>
      <c r="P15" t="s">
        <v>10</v>
      </c>
      <c r="Q15">
        <v>12</v>
      </c>
      <c r="R15">
        <v>21</v>
      </c>
      <c r="S15" t="str">
        <f>IF(Table1_1[[#This Row],[مده التسليم (الفعلى)]]&lt;=Table1_1[[#This Row],[مده التسليم(الهدف)]],"تم التسليم في الموعد","لم يتم التسليم في الموعد")</f>
        <v>لم يتم التسليم في الموعد</v>
      </c>
      <c r="T15" s="11">
        <v>45539</v>
      </c>
      <c r="U15" s="11">
        <v>45551</v>
      </c>
      <c r="V15" s="11">
        <v>45560</v>
      </c>
      <c r="W15" t="s">
        <v>20</v>
      </c>
      <c r="X15" t="s">
        <v>147</v>
      </c>
    </row>
    <row r="16" spans="1:24">
      <c r="A16" t="s">
        <v>242</v>
      </c>
      <c r="B16" t="s">
        <v>278</v>
      </c>
      <c r="C16" t="s">
        <v>38</v>
      </c>
      <c r="D16" s="19" t="s">
        <v>272</v>
      </c>
      <c r="E16" t="s">
        <v>307</v>
      </c>
      <c r="F16" t="s">
        <v>105</v>
      </c>
      <c r="G16" s="12" t="s">
        <v>117</v>
      </c>
      <c r="H16" s="12" t="s">
        <v>110</v>
      </c>
      <c r="I16">
        <v>120</v>
      </c>
      <c r="J16" t="s">
        <v>119</v>
      </c>
      <c r="K16" t="s">
        <v>119</v>
      </c>
      <c r="L16" t="s">
        <v>39</v>
      </c>
      <c r="M16">
        <v>2</v>
      </c>
      <c r="N16" s="13">
        <f>Table1_1[[#This Row],[سعر البيع ]]/Table1_1[[#This Row],[الكمية]]</f>
        <v>3090</v>
      </c>
      <c r="O16">
        <v>6180</v>
      </c>
      <c r="P16" t="s">
        <v>275</v>
      </c>
      <c r="Q16">
        <v>13</v>
      </c>
      <c r="R16">
        <v>12</v>
      </c>
      <c r="S16" t="str">
        <f>IF(Table1_1[[#This Row],[مده التسليم (الفعلى)]]&lt;=Table1_1[[#This Row],[مده التسليم(الهدف)]],"تم التسليم في الموعد","لم يتم التسليم في الموعد")</f>
        <v>تم التسليم في الموعد</v>
      </c>
      <c r="T16" s="11">
        <v>45538</v>
      </c>
      <c r="U16" s="11">
        <v>45551</v>
      </c>
      <c r="V16" s="11">
        <v>45550</v>
      </c>
      <c r="W16" t="s">
        <v>140</v>
      </c>
      <c r="X16" t="s">
        <v>139</v>
      </c>
    </row>
    <row r="17" spans="1:24">
      <c r="A17" t="s">
        <v>40</v>
      </c>
      <c r="B17" t="s">
        <v>278</v>
      </c>
      <c r="C17" t="s">
        <v>41</v>
      </c>
      <c r="D17" s="19" t="s">
        <v>272</v>
      </c>
      <c r="E17" t="s">
        <v>4</v>
      </c>
      <c r="F17" t="s">
        <v>105</v>
      </c>
      <c r="G17" s="12" t="s">
        <v>117</v>
      </c>
      <c r="H17" s="12" t="s">
        <v>109</v>
      </c>
      <c r="I17">
        <v>80</v>
      </c>
      <c r="J17" t="s">
        <v>118</v>
      </c>
      <c r="K17" t="s">
        <v>118</v>
      </c>
      <c r="L17" t="s">
        <v>42</v>
      </c>
      <c r="M17">
        <v>1</v>
      </c>
      <c r="N17" s="13">
        <f>Table1_1[[#This Row],[سعر البيع ]]/Table1_1[[#This Row],[الكمية]]</f>
        <v>11199</v>
      </c>
      <c r="O17">
        <v>11199</v>
      </c>
      <c r="P17" t="s">
        <v>275</v>
      </c>
      <c r="Q17">
        <v>14</v>
      </c>
      <c r="R17">
        <v>0</v>
      </c>
      <c r="T17" s="11">
        <v>45539</v>
      </c>
      <c r="U17" s="11">
        <v>45553</v>
      </c>
      <c r="X17" t="s">
        <v>311</v>
      </c>
    </row>
    <row r="18" spans="1:24">
      <c r="A18" t="s">
        <v>238</v>
      </c>
      <c r="B18" t="s">
        <v>278</v>
      </c>
      <c r="C18" t="s">
        <v>47</v>
      </c>
      <c r="D18" s="19" t="s">
        <v>272</v>
      </c>
      <c r="E18" t="s">
        <v>4</v>
      </c>
      <c r="F18" t="s">
        <v>105</v>
      </c>
      <c r="G18" s="12" t="s">
        <v>108</v>
      </c>
      <c r="H18" s="12" t="s">
        <v>127</v>
      </c>
      <c r="I18">
        <v>80</v>
      </c>
      <c r="J18" t="s">
        <v>118</v>
      </c>
      <c r="K18" t="s">
        <v>118</v>
      </c>
      <c r="L18" t="s">
        <v>48</v>
      </c>
      <c r="M18">
        <v>4</v>
      </c>
      <c r="N18" s="13">
        <f>Table1_1[[#This Row],[سعر البيع ]]/Table1_1[[#This Row],[الكمية]]</f>
        <v>1996.75</v>
      </c>
      <c r="O18">
        <v>7987</v>
      </c>
      <c r="P18" t="s">
        <v>10</v>
      </c>
      <c r="Q18">
        <v>10</v>
      </c>
      <c r="R18">
        <v>15</v>
      </c>
      <c r="S18" t="str">
        <f>IF(Table1_1[[#This Row],[مده التسليم (الفعلى)]]&lt;=Table1_1[[#This Row],[مده التسليم(الهدف)]],"تم التسليم في الموعد","لم يتم التسليم في الموعد")</f>
        <v>لم يتم التسليم في الموعد</v>
      </c>
      <c r="T18" s="11">
        <v>45541</v>
      </c>
      <c r="U18" s="11">
        <v>45551</v>
      </c>
      <c r="V18" s="11">
        <v>45556</v>
      </c>
      <c r="W18" t="s">
        <v>140</v>
      </c>
      <c r="X18" t="s">
        <v>139</v>
      </c>
    </row>
    <row r="19" spans="1:24">
      <c r="A19" t="s">
        <v>269</v>
      </c>
      <c r="B19" t="s">
        <v>279</v>
      </c>
      <c r="C19" t="s">
        <v>27</v>
      </c>
      <c r="D19" s="19" t="s">
        <v>272</v>
      </c>
      <c r="E19" t="s">
        <v>28</v>
      </c>
      <c r="F19" t="s">
        <v>282</v>
      </c>
      <c r="G19" s="12" t="s">
        <v>151</v>
      </c>
      <c r="J19" t="s">
        <v>281</v>
      </c>
      <c r="K19" t="s">
        <v>281</v>
      </c>
      <c r="L19" t="s">
        <v>45</v>
      </c>
      <c r="M19">
        <v>2</v>
      </c>
      <c r="N19" s="13">
        <f>Table1_1[[#This Row],[سعر البيع ]]/Table1_1[[#This Row],[الكمية]]</f>
        <v>4650</v>
      </c>
      <c r="O19">
        <v>9300</v>
      </c>
      <c r="P19" t="s">
        <v>275</v>
      </c>
      <c r="Q19">
        <v>11</v>
      </c>
      <c r="R19">
        <v>13</v>
      </c>
      <c r="S19" t="str">
        <f>IF(Table1_1[[#This Row],[مده التسليم (الفعلى)]]&lt;=Table1_1[[#This Row],[مده التسليم(الهدف)]],"تم التسليم في الموعد","لم يتم التسليم في الموعد")</f>
        <v>لم يتم التسليم في الموعد</v>
      </c>
      <c r="T19" s="11">
        <v>45539</v>
      </c>
      <c r="U19" s="11">
        <v>45550</v>
      </c>
      <c r="V19" s="11">
        <v>45552</v>
      </c>
      <c r="W19" t="s">
        <v>140</v>
      </c>
      <c r="X19" t="s">
        <v>139</v>
      </c>
    </row>
    <row r="20" spans="1:24">
      <c r="A20" t="s">
        <v>76</v>
      </c>
      <c r="B20" t="s">
        <v>278</v>
      </c>
      <c r="C20" t="s">
        <v>77</v>
      </c>
      <c r="D20" s="19" t="s">
        <v>272</v>
      </c>
      <c r="E20" t="s">
        <v>4</v>
      </c>
      <c r="F20" t="s">
        <v>202</v>
      </c>
      <c r="G20" s="12" t="s">
        <v>134</v>
      </c>
      <c r="J20" t="s">
        <v>281</v>
      </c>
      <c r="K20" t="s">
        <v>281</v>
      </c>
      <c r="L20" t="s">
        <v>44</v>
      </c>
      <c r="M20">
        <v>1</v>
      </c>
      <c r="N20" s="13">
        <f>Table1_1[[#This Row],[سعر البيع ]]/Table1_1[[#This Row],[الكمية]]</f>
        <v>8849</v>
      </c>
      <c r="O20">
        <v>8849</v>
      </c>
      <c r="P20" t="s">
        <v>10</v>
      </c>
      <c r="Q20">
        <v>43</v>
      </c>
      <c r="R20">
        <v>0</v>
      </c>
      <c r="T20" s="11">
        <v>45538</v>
      </c>
      <c r="U20" s="11">
        <v>45581</v>
      </c>
      <c r="X20" t="s">
        <v>311</v>
      </c>
    </row>
    <row r="21" spans="1:24">
      <c r="A21" t="s">
        <v>49</v>
      </c>
      <c r="B21" t="s">
        <v>278</v>
      </c>
      <c r="C21" t="s">
        <v>25</v>
      </c>
      <c r="D21" s="19" t="s">
        <v>271</v>
      </c>
      <c r="E21" t="s">
        <v>4</v>
      </c>
      <c r="F21" t="s">
        <v>105</v>
      </c>
      <c r="G21" s="12" t="s">
        <v>108</v>
      </c>
      <c r="H21" s="12" t="s">
        <v>111</v>
      </c>
      <c r="I21">
        <v>120</v>
      </c>
      <c r="J21" t="s">
        <v>118</v>
      </c>
      <c r="K21" t="s">
        <v>118</v>
      </c>
      <c r="L21" t="s">
        <v>50</v>
      </c>
      <c r="M21">
        <v>1</v>
      </c>
      <c r="N21" s="13">
        <f>Table1_1[[#This Row],[سعر البيع ]]/Table1_1[[#This Row],[الكمية]]</f>
        <v>10987</v>
      </c>
      <c r="O21">
        <v>10987</v>
      </c>
      <c r="P21" t="s">
        <v>10</v>
      </c>
      <c r="Q21">
        <v>8</v>
      </c>
      <c r="R21">
        <v>12</v>
      </c>
      <c r="S21" t="str">
        <f>IF(Table1_1[[#This Row],[مده التسليم (الفعلى)]]&lt;=Table1_1[[#This Row],[مده التسليم(الهدف)]],"تم التسليم في الموعد","لم يتم التسليم في الموعد")</f>
        <v>لم يتم التسليم في الموعد</v>
      </c>
      <c r="T21" s="11">
        <v>45544</v>
      </c>
      <c r="U21" s="11">
        <v>45552</v>
      </c>
      <c r="V21" s="11">
        <v>45556</v>
      </c>
      <c r="W21" t="s">
        <v>140</v>
      </c>
      <c r="X21" t="s">
        <v>139</v>
      </c>
    </row>
    <row r="22" spans="1:24">
      <c r="A22" t="s">
        <v>36</v>
      </c>
      <c r="B22" t="s">
        <v>279</v>
      </c>
      <c r="D22" s="19" t="s">
        <v>283</v>
      </c>
      <c r="E22" t="s">
        <v>36</v>
      </c>
      <c r="F22" t="s">
        <v>105</v>
      </c>
      <c r="G22" s="12" t="s">
        <v>117</v>
      </c>
      <c r="H22" s="12" t="s">
        <v>109</v>
      </c>
      <c r="I22">
        <v>100</v>
      </c>
      <c r="J22" t="s">
        <v>118</v>
      </c>
      <c r="K22" t="s">
        <v>118</v>
      </c>
      <c r="L22" t="s">
        <v>35</v>
      </c>
      <c r="M22">
        <v>1</v>
      </c>
      <c r="N22" s="13">
        <f>Table1_1[[#This Row],[سعر البيع ]]/Table1_1[[#This Row],[الكمية]]</f>
        <v>9208</v>
      </c>
      <c r="O22">
        <v>9208</v>
      </c>
      <c r="P22" t="s">
        <v>275</v>
      </c>
      <c r="Q22">
        <v>18</v>
      </c>
      <c r="R22">
        <v>20</v>
      </c>
      <c r="S22" t="str">
        <f>IF(Table1_1[[#This Row],[مده التسليم (الفعلى)]]&lt;=Table1_1[[#This Row],[مده التسليم(الهدف)]],"تم التسليم في الموعد","لم يتم التسليم في الموعد")</f>
        <v>لم يتم التسليم في الموعد</v>
      </c>
      <c r="T22" s="11">
        <v>45536</v>
      </c>
      <c r="U22" s="11">
        <v>45554</v>
      </c>
      <c r="V22" s="11">
        <v>45556</v>
      </c>
      <c r="W22" t="s">
        <v>140</v>
      </c>
      <c r="X22" t="s">
        <v>139</v>
      </c>
    </row>
    <row r="23" spans="1:24">
      <c r="A23" t="s">
        <v>36</v>
      </c>
      <c r="B23" t="s">
        <v>279</v>
      </c>
      <c r="D23" s="19" t="s">
        <v>283</v>
      </c>
      <c r="E23" t="s">
        <v>36</v>
      </c>
      <c r="F23" t="s">
        <v>105</v>
      </c>
      <c r="G23" s="12" t="s">
        <v>117</v>
      </c>
      <c r="H23" s="12" t="s">
        <v>109</v>
      </c>
      <c r="I23">
        <v>100</v>
      </c>
      <c r="J23" t="s">
        <v>119</v>
      </c>
      <c r="K23" t="s">
        <v>119</v>
      </c>
      <c r="L23" t="s">
        <v>37</v>
      </c>
      <c r="M23">
        <v>1</v>
      </c>
      <c r="N23" s="13">
        <f>Table1_1[[#This Row],[سعر البيع ]]/Table1_1[[#This Row],[الكمية]]</f>
        <v>9208</v>
      </c>
      <c r="O23">
        <v>9208</v>
      </c>
      <c r="P23" t="s">
        <v>275</v>
      </c>
      <c r="Q23">
        <v>18</v>
      </c>
      <c r="R23">
        <v>20</v>
      </c>
      <c r="S23" t="str">
        <f>IF(Table1_1[[#This Row],[مده التسليم (الفعلى)]]&lt;=Table1_1[[#This Row],[مده التسليم(الهدف)]],"تم التسليم في الموعد","لم يتم التسليم في الموعد")</f>
        <v>لم يتم التسليم في الموعد</v>
      </c>
      <c r="T23" s="11">
        <v>45536</v>
      </c>
      <c r="U23" s="11">
        <v>45554</v>
      </c>
      <c r="V23" s="11">
        <v>45556</v>
      </c>
      <c r="W23" t="s">
        <v>140</v>
      </c>
      <c r="X23" t="s">
        <v>139</v>
      </c>
    </row>
    <row r="24" spans="1:24">
      <c r="A24" t="s">
        <v>59</v>
      </c>
      <c r="B24" t="s">
        <v>279</v>
      </c>
      <c r="C24" t="s">
        <v>60</v>
      </c>
      <c r="D24" s="19" t="s">
        <v>315</v>
      </c>
      <c r="E24" t="s">
        <v>307</v>
      </c>
      <c r="F24" t="s">
        <v>105</v>
      </c>
      <c r="G24" s="12" t="s">
        <v>108</v>
      </c>
      <c r="H24" s="12" t="s">
        <v>127</v>
      </c>
      <c r="I24">
        <v>120</v>
      </c>
      <c r="J24" t="s">
        <v>118</v>
      </c>
      <c r="K24" t="s">
        <v>118</v>
      </c>
      <c r="L24" t="s">
        <v>63</v>
      </c>
      <c r="M24">
        <v>2</v>
      </c>
      <c r="N24" s="13">
        <f>Table1_1[[#This Row],[سعر البيع ]]/Table1_1[[#This Row],[الكمية]]</f>
        <v>2010</v>
      </c>
      <c r="O24">
        <v>4020</v>
      </c>
      <c r="P24" t="s">
        <v>61</v>
      </c>
      <c r="Q24">
        <v>9</v>
      </c>
      <c r="R24">
        <v>10</v>
      </c>
      <c r="S24" t="str">
        <f>IF(Table1_1[[#This Row],[مده التسليم (الفعلى)]]&lt;=Table1_1[[#This Row],[مده التسليم(الهدف)]],"تم التسليم في الموعد","لم يتم التسليم في الموعد")</f>
        <v>لم يتم التسليم في الموعد</v>
      </c>
      <c r="T24" s="11">
        <v>45547</v>
      </c>
      <c r="U24" s="11">
        <v>45556</v>
      </c>
      <c r="V24" s="11">
        <v>45557</v>
      </c>
      <c r="W24" t="s">
        <v>140</v>
      </c>
      <c r="X24" t="s">
        <v>139</v>
      </c>
    </row>
    <row r="25" spans="1:24">
      <c r="A25" t="s">
        <v>59</v>
      </c>
      <c r="B25" t="s">
        <v>279</v>
      </c>
      <c r="C25" t="s">
        <v>60</v>
      </c>
      <c r="D25" s="19" t="s">
        <v>315</v>
      </c>
      <c r="E25" t="s">
        <v>307</v>
      </c>
      <c r="F25" t="s">
        <v>105</v>
      </c>
      <c r="G25" s="12" t="s">
        <v>108</v>
      </c>
      <c r="H25" s="12" t="s">
        <v>120</v>
      </c>
      <c r="I25">
        <v>120</v>
      </c>
      <c r="J25" t="s">
        <v>119</v>
      </c>
      <c r="K25" t="s">
        <v>119</v>
      </c>
      <c r="L25" t="s">
        <v>62</v>
      </c>
      <c r="M25">
        <v>2</v>
      </c>
      <c r="N25" s="13">
        <f>Table1_1[[#This Row],[سعر البيع ]]/Table1_1[[#This Row],[الكمية]]</f>
        <v>2010</v>
      </c>
      <c r="O25">
        <v>4020</v>
      </c>
      <c r="P25" t="s">
        <v>10</v>
      </c>
      <c r="Q25">
        <v>9</v>
      </c>
      <c r="R25">
        <v>10</v>
      </c>
      <c r="S25" t="str">
        <f>IF(Table1_1[[#This Row],[مده التسليم (الفعلى)]]&lt;=Table1_1[[#This Row],[مده التسليم(الهدف)]],"تم التسليم في الموعد","لم يتم التسليم في الموعد")</f>
        <v>لم يتم التسليم في الموعد</v>
      </c>
      <c r="T25" s="11">
        <v>45547</v>
      </c>
      <c r="U25" s="11">
        <v>45556</v>
      </c>
      <c r="V25" s="11">
        <v>45557</v>
      </c>
      <c r="W25" t="s">
        <v>140</v>
      </c>
      <c r="X25" t="s">
        <v>139</v>
      </c>
    </row>
    <row r="26" spans="1:24">
      <c r="A26" t="s">
        <v>99</v>
      </c>
      <c r="B26" t="s">
        <v>278</v>
      </c>
      <c r="C26" t="s">
        <v>100</v>
      </c>
      <c r="D26" s="19" t="s">
        <v>150</v>
      </c>
      <c r="E26" t="s">
        <v>4</v>
      </c>
      <c r="F26" t="s">
        <v>105</v>
      </c>
      <c r="G26" s="12" t="s">
        <v>106</v>
      </c>
      <c r="J26" t="s">
        <v>119</v>
      </c>
      <c r="K26" t="s">
        <v>119</v>
      </c>
      <c r="L26" t="s">
        <v>101</v>
      </c>
      <c r="M26">
        <v>1</v>
      </c>
      <c r="N26" s="13">
        <f>Table1_1[[#This Row],[سعر البيع ]]/Table1_1[[#This Row],[الكمية]]</f>
        <v>9399</v>
      </c>
      <c r="O26">
        <v>9399</v>
      </c>
      <c r="P26" t="s">
        <v>10</v>
      </c>
      <c r="Q26">
        <v>8</v>
      </c>
      <c r="R26">
        <v>0</v>
      </c>
      <c r="T26" s="11">
        <v>45549</v>
      </c>
      <c r="U26" s="11">
        <v>45557</v>
      </c>
      <c r="X26" t="s">
        <v>311</v>
      </c>
    </row>
    <row r="27" spans="1:24">
      <c r="A27" t="s">
        <v>102</v>
      </c>
      <c r="B27" t="s">
        <v>278</v>
      </c>
      <c r="C27" t="s">
        <v>103</v>
      </c>
      <c r="D27" s="19" t="s">
        <v>312</v>
      </c>
      <c r="E27" t="s">
        <v>4</v>
      </c>
      <c r="F27" t="s">
        <v>202</v>
      </c>
      <c r="G27" s="12" t="s">
        <v>136</v>
      </c>
      <c r="J27" t="s">
        <v>281</v>
      </c>
      <c r="K27" t="s">
        <v>281</v>
      </c>
      <c r="L27" t="s">
        <v>104</v>
      </c>
      <c r="M27">
        <v>1</v>
      </c>
      <c r="N27" s="13">
        <f>Table1_1[[#This Row],[سعر البيع ]]/Table1_1[[#This Row],[الكمية]]</f>
        <v>8349</v>
      </c>
      <c r="O27">
        <v>8349</v>
      </c>
      <c r="P27" t="s">
        <v>10</v>
      </c>
      <c r="Q27">
        <v>8</v>
      </c>
      <c r="R27">
        <v>10</v>
      </c>
      <c r="S27" t="str">
        <f>IF(Table1_1[[#This Row],[مده التسليم (الفعلى)]]&lt;=Table1_1[[#This Row],[مده التسليم(الهدف)]],"تم التسليم في الموعد","لم يتم التسليم في الموعد")</f>
        <v>لم يتم التسليم في الموعد</v>
      </c>
      <c r="T27" s="11">
        <v>45549</v>
      </c>
      <c r="U27" s="11">
        <v>45557</v>
      </c>
      <c r="V27" s="11">
        <v>45559</v>
      </c>
      <c r="W27" t="s">
        <v>20</v>
      </c>
      <c r="X27" t="s">
        <v>139</v>
      </c>
    </row>
    <row r="28" spans="1:24">
      <c r="A28" t="s">
        <v>243</v>
      </c>
      <c r="B28" t="s">
        <v>278</v>
      </c>
      <c r="C28" t="s">
        <v>25</v>
      </c>
      <c r="D28" s="19" t="s">
        <v>271</v>
      </c>
      <c r="E28" t="s">
        <v>4</v>
      </c>
      <c r="F28" t="s">
        <v>105</v>
      </c>
      <c r="G28" s="12" t="s">
        <v>106</v>
      </c>
      <c r="J28" t="s">
        <v>119</v>
      </c>
      <c r="K28" t="s">
        <v>119</v>
      </c>
      <c r="L28" t="s">
        <v>75</v>
      </c>
      <c r="M28">
        <v>1</v>
      </c>
      <c r="N28" s="13">
        <f>Table1_1[[#This Row],[سعر البيع ]]/Table1_1[[#This Row],[الكمية]]</f>
        <v>9399</v>
      </c>
      <c r="O28">
        <v>9399</v>
      </c>
      <c r="P28" t="s">
        <v>10</v>
      </c>
      <c r="Q28">
        <v>11</v>
      </c>
      <c r="R28">
        <v>17</v>
      </c>
      <c r="S28" t="str">
        <f>IF(Table1_1[[#This Row],[مده التسليم (الفعلى)]]&lt;=Table1_1[[#This Row],[مده التسليم(الهدف)]],"تم التسليم في الموعد","لم يتم التسليم في الموعد")</f>
        <v>لم يتم التسليم في الموعد</v>
      </c>
      <c r="T28" s="11">
        <v>45548</v>
      </c>
      <c r="U28" s="11">
        <v>45559</v>
      </c>
      <c r="V28" s="11">
        <v>45565</v>
      </c>
      <c r="W28" t="s">
        <v>20</v>
      </c>
      <c r="X28" t="s">
        <v>139</v>
      </c>
    </row>
    <row r="29" spans="1:24">
      <c r="A29" t="s">
        <v>244</v>
      </c>
      <c r="B29" t="s">
        <v>278</v>
      </c>
      <c r="C29" t="s">
        <v>51</v>
      </c>
      <c r="D29" s="19" t="s">
        <v>272</v>
      </c>
      <c r="E29" t="s">
        <v>4</v>
      </c>
      <c r="F29" t="s">
        <v>202</v>
      </c>
      <c r="G29" s="12" t="s">
        <v>134</v>
      </c>
      <c r="J29" t="s">
        <v>281</v>
      </c>
      <c r="K29" t="s">
        <v>281</v>
      </c>
      <c r="L29" t="s">
        <v>44</v>
      </c>
      <c r="M29">
        <v>1</v>
      </c>
      <c r="N29" s="13">
        <f>Table1_1[[#This Row],[سعر البيع ]]/Table1_1[[#This Row],[الكمية]]</f>
        <v>7849</v>
      </c>
      <c r="O29">
        <v>7849</v>
      </c>
      <c r="P29" t="s">
        <v>275</v>
      </c>
      <c r="Q29">
        <v>14</v>
      </c>
      <c r="R29">
        <v>0</v>
      </c>
      <c r="T29" s="11">
        <v>45547</v>
      </c>
      <c r="U29" s="11">
        <v>45561</v>
      </c>
      <c r="W29" t="s">
        <v>20</v>
      </c>
      <c r="X29" t="s">
        <v>139</v>
      </c>
    </row>
    <row r="30" spans="1:24">
      <c r="A30" t="s">
        <v>56</v>
      </c>
      <c r="B30" t="s">
        <v>278</v>
      </c>
      <c r="C30" t="s">
        <v>57</v>
      </c>
      <c r="D30" s="19" t="s">
        <v>271</v>
      </c>
      <c r="E30" t="s">
        <v>194</v>
      </c>
      <c r="F30" t="s">
        <v>105</v>
      </c>
      <c r="G30" s="12" t="s">
        <v>122</v>
      </c>
      <c r="H30" s="12" t="s">
        <v>110</v>
      </c>
      <c r="I30">
        <v>100</v>
      </c>
      <c r="J30" t="s">
        <v>119</v>
      </c>
      <c r="K30" t="s">
        <v>119</v>
      </c>
      <c r="L30" t="s">
        <v>58</v>
      </c>
      <c r="M30">
        <v>1</v>
      </c>
      <c r="N30" s="13">
        <f>Table1_1[[#This Row],[سعر البيع ]]/Table1_1[[#This Row],[الكمية]]</f>
        <v>9450</v>
      </c>
      <c r="O30">
        <v>9450</v>
      </c>
      <c r="P30" t="s">
        <v>275</v>
      </c>
      <c r="Q30">
        <v>14</v>
      </c>
      <c r="R30">
        <v>0</v>
      </c>
      <c r="T30" s="11">
        <v>45547</v>
      </c>
      <c r="U30" s="11">
        <v>45561</v>
      </c>
      <c r="X30" t="s">
        <v>311</v>
      </c>
    </row>
    <row r="31" spans="1:24">
      <c r="A31" t="s">
        <v>245</v>
      </c>
      <c r="B31" t="s">
        <v>278</v>
      </c>
      <c r="C31" t="s">
        <v>47</v>
      </c>
      <c r="D31" s="19" t="s">
        <v>272</v>
      </c>
      <c r="E31" t="s">
        <v>4</v>
      </c>
      <c r="F31" t="s">
        <v>105</v>
      </c>
      <c r="G31" s="12" t="s">
        <v>108</v>
      </c>
      <c r="H31" s="12" t="s">
        <v>111</v>
      </c>
      <c r="I31">
        <v>120</v>
      </c>
      <c r="J31" t="s">
        <v>119</v>
      </c>
      <c r="K31" t="s">
        <v>119</v>
      </c>
      <c r="L31" t="s">
        <v>69</v>
      </c>
      <c r="M31">
        <v>1</v>
      </c>
      <c r="N31" s="13">
        <f>Table1_1[[#This Row],[سعر البيع ]]/Table1_1[[#This Row],[الكمية]]</f>
        <v>7460</v>
      </c>
      <c r="O31">
        <v>7460</v>
      </c>
      <c r="P31" t="s">
        <v>10</v>
      </c>
      <c r="Q31">
        <v>13</v>
      </c>
      <c r="R31">
        <v>20</v>
      </c>
      <c r="S31" t="str">
        <f>IF(Table1_1[[#This Row],[مده التسليم (الفعلى)]]&lt;=Table1_1[[#This Row],[مده التسليم(الهدف)]],"تم التسليم في الموعد","لم يتم التسليم في الموعد")</f>
        <v>لم يتم التسليم في الموعد</v>
      </c>
      <c r="T31" s="11">
        <v>45548</v>
      </c>
      <c r="U31" s="11">
        <v>45561</v>
      </c>
      <c r="V31" s="11">
        <v>45568</v>
      </c>
      <c r="W31" t="s">
        <v>140</v>
      </c>
      <c r="X31" t="s">
        <v>139</v>
      </c>
    </row>
    <row r="32" spans="1:24">
      <c r="A32" t="s">
        <v>71</v>
      </c>
      <c r="B32" t="s">
        <v>278</v>
      </c>
      <c r="C32" t="s">
        <v>47</v>
      </c>
      <c r="D32" s="19" t="s">
        <v>272</v>
      </c>
      <c r="E32" t="s">
        <v>4</v>
      </c>
      <c r="F32" t="s">
        <v>105</v>
      </c>
      <c r="G32" s="12" t="s">
        <v>108</v>
      </c>
      <c r="H32" s="12" t="s">
        <v>195</v>
      </c>
      <c r="I32">
        <v>140</v>
      </c>
      <c r="J32" t="s">
        <v>126</v>
      </c>
      <c r="K32" t="s">
        <v>123</v>
      </c>
      <c r="L32" t="s">
        <v>72</v>
      </c>
      <c r="M32">
        <v>1</v>
      </c>
      <c r="N32" s="13">
        <f>Table1_1[[#This Row],[سعر البيع ]]/Table1_1[[#This Row],[الكمية]]</f>
        <v>9528</v>
      </c>
      <c r="O32">
        <v>9528</v>
      </c>
      <c r="P32" t="s">
        <v>10</v>
      </c>
      <c r="Q32">
        <v>13</v>
      </c>
      <c r="R32">
        <v>20</v>
      </c>
      <c r="S32" t="str">
        <f>IF(Table1_1[[#This Row],[مده التسليم (الفعلى)]]&lt;=Table1_1[[#This Row],[مده التسليم(الهدف)]],"تم التسليم في الموعد","لم يتم التسليم في الموعد")</f>
        <v>لم يتم التسليم في الموعد</v>
      </c>
      <c r="T32" s="11">
        <v>45548</v>
      </c>
      <c r="U32" s="11">
        <v>45561</v>
      </c>
      <c r="V32" s="11">
        <v>45568</v>
      </c>
      <c r="W32" t="s">
        <v>140</v>
      </c>
      <c r="X32" t="s">
        <v>139</v>
      </c>
    </row>
    <row r="33" spans="1:24">
      <c r="A33" t="s">
        <v>246</v>
      </c>
      <c r="B33" t="s">
        <v>278</v>
      </c>
      <c r="C33" t="s">
        <v>25</v>
      </c>
      <c r="D33" s="19" t="s">
        <v>271</v>
      </c>
      <c r="E33" t="s">
        <v>4</v>
      </c>
      <c r="F33" t="s">
        <v>105</v>
      </c>
      <c r="G33" s="12" t="s">
        <v>117</v>
      </c>
      <c r="H33" s="12" t="s">
        <v>110</v>
      </c>
      <c r="I33">
        <v>120</v>
      </c>
      <c r="J33" t="s">
        <v>123</v>
      </c>
      <c r="K33" t="s">
        <v>123</v>
      </c>
      <c r="L33" t="s">
        <v>98</v>
      </c>
      <c r="M33">
        <v>1</v>
      </c>
      <c r="N33" s="13">
        <f>Table1_1[[#This Row],[سعر البيع ]]/Table1_1[[#This Row],[الكمية]]</f>
        <v>12999</v>
      </c>
      <c r="O33">
        <v>12999</v>
      </c>
      <c r="P33" t="s">
        <v>10</v>
      </c>
      <c r="Q33">
        <v>13</v>
      </c>
      <c r="R33">
        <v>18</v>
      </c>
      <c r="S33" t="str">
        <f>IF(Table1_1[[#This Row],[مده التسليم (الفعلى)]]&lt;=Table1_1[[#This Row],[مده التسليم(الهدف)]],"تم التسليم في الموعد","لم يتم التسليم في الموعد")</f>
        <v>لم يتم التسليم في الموعد</v>
      </c>
      <c r="T33" s="11">
        <v>45549</v>
      </c>
      <c r="U33" s="11">
        <v>45562</v>
      </c>
      <c r="V33" s="11">
        <v>45567</v>
      </c>
      <c r="W33" t="s">
        <v>140</v>
      </c>
      <c r="X33" t="s">
        <v>139</v>
      </c>
    </row>
    <row r="34" spans="1:24">
      <c r="A34" t="s">
        <v>247</v>
      </c>
      <c r="B34" t="s">
        <v>278</v>
      </c>
      <c r="C34" t="s">
        <v>52</v>
      </c>
      <c r="D34" s="19" t="s">
        <v>272</v>
      </c>
      <c r="E34" t="s">
        <v>4</v>
      </c>
      <c r="F34" t="s">
        <v>105</v>
      </c>
      <c r="G34" s="12" t="s">
        <v>117</v>
      </c>
      <c r="H34" s="12" t="s">
        <v>107</v>
      </c>
      <c r="I34">
        <v>90</v>
      </c>
      <c r="J34" t="s">
        <v>119</v>
      </c>
      <c r="K34" t="s">
        <v>119</v>
      </c>
      <c r="L34" t="s">
        <v>54</v>
      </c>
      <c r="M34">
        <v>1</v>
      </c>
      <c r="N34" s="13">
        <f>Table1_1[[#This Row],[سعر البيع ]]/Table1_1[[#This Row],[الكمية]]</f>
        <v>5999</v>
      </c>
      <c r="O34">
        <v>5999</v>
      </c>
      <c r="P34" t="s">
        <v>10</v>
      </c>
      <c r="Q34">
        <v>17</v>
      </c>
      <c r="R34">
        <v>0</v>
      </c>
      <c r="T34" s="11">
        <v>45547</v>
      </c>
      <c r="U34" s="11">
        <v>45564</v>
      </c>
      <c r="X34" t="s">
        <v>311</v>
      </c>
    </row>
    <row r="35" spans="1:24">
      <c r="A35" t="s">
        <v>248</v>
      </c>
      <c r="B35" t="s">
        <v>278</v>
      </c>
      <c r="C35" t="s">
        <v>53</v>
      </c>
      <c r="D35" s="19" t="s">
        <v>271</v>
      </c>
      <c r="E35" t="s">
        <v>4</v>
      </c>
      <c r="F35" t="s">
        <v>105</v>
      </c>
      <c r="G35" s="12" t="s">
        <v>117</v>
      </c>
      <c r="H35" s="12" t="s">
        <v>110</v>
      </c>
      <c r="I35">
        <v>100</v>
      </c>
      <c r="J35" t="s">
        <v>119</v>
      </c>
      <c r="K35" t="s">
        <v>119</v>
      </c>
      <c r="L35" t="s">
        <v>55</v>
      </c>
      <c r="M35">
        <v>2</v>
      </c>
      <c r="N35" s="13">
        <f>Table1_1[[#This Row],[سعر البيع ]]/Table1_1[[#This Row],[الكمية]]</f>
        <v>5974.5</v>
      </c>
      <c r="O35">
        <v>11949</v>
      </c>
      <c r="P35" t="s">
        <v>275</v>
      </c>
      <c r="Q35">
        <v>17</v>
      </c>
      <c r="R35">
        <v>20</v>
      </c>
      <c r="S35" t="str">
        <f>IF(Table1_1[[#This Row],[مده التسليم (الفعلى)]]&lt;=Table1_1[[#This Row],[مده التسليم(الهدف)]],"تم التسليم في الموعد","لم يتم التسليم في الموعد")</f>
        <v>لم يتم التسليم في الموعد</v>
      </c>
      <c r="T35" s="11">
        <v>45547</v>
      </c>
      <c r="U35" s="11">
        <v>45564</v>
      </c>
      <c r="V35" s="11">
        <v>45567</v>
      </c>
      <c r="W35" t="s">
        <v>140</v>
      </c>
      <c r="X35" t="s">
        <v>139</v>
      </c>
    </row>
    <row r="36" spans="1:24">
      <c r="A36" t="s">
        <v>238</v>
      </c>
      <c r="B36" t="s">
        <v>278</v>
      </c>
      <c r="C36" t="s">
        <v>64</v>
      </c>
      <c r="D36" s="19" t="s">
        <v>272</v>
      </c>
      <c r="E36" t="s">
        <v>4</v>
      </c>
      <c r="F36" t="s">
        <v>105</v>
      </c>
      <c r="G36" s="12" t="s">
        <v>122</v>
      </c>
      <c r="H36" s="12" t="s">
        <v>110</v>
      </c>
      <c r="I36">
        <v>80</v>
      </c>
      <c r="J36" t="s">
        <v>118</v>
      </c>
      <c r="K36" t="s">
        <v>118</v>
      </c>
      <c r="L36" t="s">
        <v>66</v>
      </c>
      <c r="M36">
        <v>1</v>
      </c>
      <c r="N36" s="13">
        <f>Table1_1[[#This Row],[سعر البيع ]]/Table1_1[[#This Row],[الكمية]]</f>
        <v>16599</v>
      </c>
      <c r="O36">
        <v>16599</v>
      </c>
      <c r="P36" t="s">
        <v>10</v>
      </c>
      <c r="Q36">
        <v>17</v>
      </c>
      <c r="R36">
        <v>20</v>
      </c>
      <c r="S36" t="str">
        <f>IF(Table1_1[[#This Row],[مده التسليم (الفعلى)]]&lt;=Table1_1[[#This Row],[مده التسليم(الهدف)]],"تم التسليم في الموعد","لم يتم التسليم في الموعد")</f>
        <v>لم يتم التسليم في الموعد</v>
      </c>
      <c r="T36" s="11">
        <v>45548</v>
      </c>
      <c r="U36" s="11">
        <v>45565</v>
      </c>
      <c r="V36" s="11">
        <v>45568</v>
      </c>
      <c r="W36" t="s">
        <v>140</v>
      </c>
      <c r="X36" t="s">
        <v>139</v>
      </c>
    </row>
    <row r="37" spans="1:24">
      <c r="A37" t="s">
        <v>249</v>
      </c>
      <c r="B37" t="s">
        <v>278</v>
      </c>
      <c r="C37" t="s">
        <v>18</v>
      </c>
      <c r="D37" s="19" t="s">
        <v>314</v>
      </c>
      <c r="E37" t="s">
        <v>4</v>
      </c>
      <c r="F37" t="s">
        <v>105</v>
      </c>
      <c r="G37" s="12" t="s">
        <v>117</v>
      </c>
      <c r="H37" s="12" t="s">
        <v>110</v>
      </c>
      <c r="I37">
        <v>80</v>
      </c>
      <c r="J37" t="s">
        <v>118</v>
      </c>
      <c r="K37" t="s">
        <v>118</v>
      </c>
      <c r="L37" t="s">
        <v>65</v>
      </c>
      <c r="M37">
        <v>1</v>
      </c>
      <c r="N37" s="13">
        <f>Table1_1[[#This Row],[سعر البيع ]]/Table1_1[[#This Row],[الكمية]]</f>
        <v>10999</v>
      </c>
      <c r="O37">
        <v>10999</v>
      </c>
      <c r="P37" t="s">
        <v>10</v>
      </c>
      <c r="Q37">
        <v>17</v>
      </c>
      <c r="R37">
        <v>33</v>
      </c>
      <c r="S37" t="str">
        <f>IF(Table1_1[[#This Row],[مده التسليم (الفعلى)]]&lt;=Table1_1[[#This Row],[مده التسليم(الهدف)]],"تم التسليم في الموعد","لم يتم التسليم في الموعد")</f>
        <v>لم يتم التسليم في الموعد</v>
      </c>
      <c r="T37" s="11">
        <v>45548</v>
      </c>
      <c r="U37" s="11">
        <v>45565</v>
      </c>
      <c r="V37" s="11">
        <v>45581</v>
      </c>
      <c r="W37" t="s">
        <v>20</v>
      </c>
      <c r="X37" t="s">
        <v>139</v>
      </c>
    </row>
    <row r="38" spans="1:24">
      <c r="A38" t="s">
        <v>250</v>
      </c>
      <c r="B38" t="s">
        <v>278</v>
      </c>
      <c r="C38" t="s">
        <v>67</v>
      </c>
      <c r="D38" s="19" t="s">
        <v>150</v>
      </c>
      <c r="E38" t="s">
        <v>4</v>
      </c>
      <c r="F38" t="s">
        <v>105</v>
      </c>
      <c r="G38" s="12" t="s">
        <v>117</v>
      </c>
      <c r="H38" s="12" t="s">
        <v>110</v>
      </c>
      <c r="I38">
        <v>140</v>
      </c>
      <c r="J38" t="s">
        <v>121</v>
      </c>
      <c r="K38" t="s">
        <v>121</v>
      </c>
      <c r="L38" t="s">
        <v>68</v>
      </c>
      <c r="M38">
        <v>1</v>
      </c>
      <c r="N38" s="13">
        <f>Table1_1[[#This Row],[سعر البيع ]]/Table1_1[[#This Row],[الكمية]]</f>
        <v>13099</v>
      </c>
      <c r="O38">
        <v>13099</v>
      </c>
      <c r="P38" t="s">
        <v>10</v>
      </c>
      <c r="Q38">
        <v>17</v>
      </c>
      <c r="R38">
        <v>20</v>
      </c>
      <c r="S38" t="str">
        <f>IF(Table1_1[[#This Row],[مده التسليم (الفعلى)]]&lt;=Table1_1[[#This Row],[مده التسليم(الهدف)]],"تم التسليم في الموعد","لم يتم التسليم في الموعد")</f>
        <v>لم يتم التسليم في الموعد</v>
      </c>
      <c r="T38" s="11">
        <v>45548</v>
      </c>
      <c r="U38" s="11">
        <v>45565</v>
      </c>
      <c r="V38" s="11">
        <v>45568</v>
      </c>
      <c r="W38" t="s">
        <v>20</v>
      </c>
      <c r="X38" t="s">
        <v>139</v>
      </c>
    </row>
    <row r="39" spans="1:24">
      <c r="A39" t="s">
        <v>251</v>
      </c>
      <c r="B39" t="s">
        <v>278</v>
      </c>
      <c r="C39" t="s">
        <v>25</v>
      </c>
      <c r="D39" s="19" t="s">
        <v>271</v>
      </c>
      <c r="E39" t="s">
        <v>4</v>
      </c>
      <c r="F39" t="s">
        <v>105</v>
      </c>
      <c r="G39" s="12" t="s">
        <v>117</v>
      </c>
      <c r="H39" s="12" t="s">
        <v>109</v>
      </c>
      <c r="I39">
        <v>120</v>
      </c>
      <c r="J39" t="s">
        <v>124</v>
      </c>
      <c r="K39" t="s">
        <v>124</v>
      </c>
      <c r="L39" t="s">
        <v>70</v>
      </c>
      <c r="M39">
        <v>1</v>
      </c>
      <c r="N39" s="13">
        <f>Table1_1[[#This Row],[سعر البيع ]]/Table1_1[[#This Row],[الكمية]]</f>
        <v>13849</v>
      </c>
      <c r="O39">
        <v>13849</v>
      </c>
      <c r="P39" t="s">
        <v>10</v>
      </c>
      <c r="Q39">
        <v>17</v>
      </c>
      <c r="R39">
        <v>37</v>
      </c>
      <c r="S39" t="str">
        <f>IF(Table1_1[[#This Row],[مده التسليم (الفعلى)]]&lt;=Table1_1[[#This Row],[مده التسليم(الهدف)]],"تم التسليم في الموعد","لم يتم التسليم في الموعد")</f>
        <v>لم يتم التسليم في الموعد</v>
      </c>
      <c r="T39" s="11">
        <v>45548</v>
      </c>
      <c r="U39" s="11">
        <v>45565</v>
      </c>
      <c r="V39" s="11">
        <v>45585</v>
      </c>
      <c r="W39" t="s">
        <v>140</v>
      </c>
      <c r="X39" t="s">
        <v>139</v>
      </c>
    </row>
    <row r="40" spans="1:24">
      <c r="A40" t="s">
        <v>252</v>
      </c>
      <c r="B40" t="s">
        <v>278</v>
      </c>
      <c r="C40" t="s">
        <v>73</v>
      </c>
      <c r="D40" s="19" t="s">
        <v>272</v>
      </c>
      <c r="E40" t="s">
        <v>4</v>
      </c>
      <c r="F40" t="s">
        <v>115</v>
      </c>
      <c r="G40" s="12" t="s">
        <v>116</v>
      </c>
      <c r="J40" t="s">
        <v>119</v>
      </c>
      <c r="K40" t="s">
        <v>281</v>
      </c>
      <c r="L40" t="s">
        <v>74</v>
      </c>
      <c r="M40">
        <v>1</v>
      </c>
      <c r="N40" s="13">
        <f>Table1_1[[#This Row],[سعر البيع ]]/Table1_1[[#This Row],[الكمية]]</f>
        <v>21999</v>
      </c>
      <c r="O40">
        <v>21999</v>
      </c>
      <c r="P40" t="s">
        <v>10</v>
      </c>
      <c r="Q40">
        <v>17</v>
      </c>
      <c r="R40">
        <v>0</v>
      </c>
      <c r="T40" s="11">
        <v>45548</v>
      </c>
      <c r="U40" s="11">
        <v>45565</v>
      </c>
      <c r="W40" t="s">
        <v>140</v>
      </c>
      <c r="X40" t="s">
        <v>139</v>
      </c>
    </row>
    <row r="41" spans="1:24">
      <c r="A41" t="s">
        <v>253</v>
      </c>
      <c r="B41" t="s">
        <v>278</v>
      </c>
      <c r="C41" t="s">
        <v>25</v>
      </c>
      <c r="D41" s="19" t="s">
        <v>271</v>
      </c>
      <c r="E41" t="s">
        <v>4</v>
      </c>
      <c r="F41" t="s">
        <v>105</v>
      </c>
      <c r="G41" s="12" t="s">
        <v>117</v>
      </c>
      <c r="H41" s="12" t="s">
        <v>110</v>
      </c>
      <c r="I41">
        <v>80</v>
      </c>
      <c r="J41" t="s">
        <v>118</v>
      </c>
      <c r="K41" t="s">
        <v>118</v>
      </c>
      <c r="L41" t="s">
        <v>65</v>
      </c>
      <c r="M41">
        <v>1</v>
      </c>
      <c r="N41" s="13">
        <f>Table1_1[[#This Row],[سعر البيع ]]/Table1_1[[#This Row],[الكمية]]</f>
        <v>10999</v>
      </c>
      <c r="O41">
        <v>10999</v>
      </c>
      <c r="P41" t="s">
        <v>10</v>
      </c>
      <c r="Q41">
        <v>17</v>
      </c>
      <c r="R41">
        <v>32</v>
      </c>
      <c r="S41" t="str">
        <f>IF(Table1_1[[#This Row],[مده التسليم (الفعلى)]]&lt;=Table1_1[[#This Row],[مده التسليم(الهدف)]],"تم التسليم في الموعد","لم يتم التسليم في الموعد")</f>
        <v>لم يتم التسليم في الموعد</v>
      </c>
      <c r="T41" s="11">
        <v>45548</v>
      </c>
      <c r="U41" s="11">
        <v>45565</v>
      </c>
      <c r="V41" s="11">
        <v>45580</v>
      </c>
      <c r="W41" t="s">
        <v>140</v>
      </c>
      <c r="X41" t="s">
        <v>139</v>
      </c>
    </row>
    <row r="42" spans="1:24">
      <c r="A42" t="s">
        <v>254</v>
      </c>
      <c r="B42" t="s">
        <v>278</v>
      </c>
      <c r="C42" t="s">
        <v>77</v>
      </c>
      <c r="D42" s="19" t="s">
        <v>272</v>
      </c>
      <c r="E42" t="s">
        <v>4</v>
      </c>
      <c r="F42" t="s">
        <v>105</v>
      </c>
      <c r="G42" s="12" t="s">
        <v>122</v>
      </c>
      <c r="H42" s="12" t="s">
        <v>110</v>
      </c>
      <c r="I42">
        <v>90</v>
      </c>
      <c r="J42" t="s">
        <v>119</v>
      </c>
      <c r="K42" t="s">
        <v>119</v>
      </c>
      <c r="L42" t="s">
        <v>78</v>
      </c>
      <c r="M42">
        <v>1</v>
      </c>
      <c r="N42" s="13">
        <f>Table1_1[[#This Row],[سعر البيع ]]/Table1_1[[#This Row],[الكمية]]</f>
        <v>17249</v>
      </c>
      <c r="O42">
        <v>17249</v>
      </c>
      <c r="P42" t="s">
        <v>10</v>
      </c>
      <c r="Q42">
        <v>17</v>
      </c>
      <c r="R42">
        <v>21</v>
      </c>
      <c r="S42" t="str">
        <f>IF(Table1_1[[#This Row],[مده التسليم (الفعلى)]]&lt;=Table1_1[[#This Row],[مده التسليم(الهدف)]],"تم التسليم في الموعد","لم يتم التسليم في الموعد")</f>
        <v>لم يتم التسليم في الموعد</v>
      </c>
      <c r="T42" s="11">
        <v>45548</v>
      </c>
      <c r="U42" s="11">
        <v>45565</v>
      </c>
      <c r="V42" s="11">
        <v>45569</v>
      </c>
      <c r="W42" t="s">
        <v>140</v>
      </c>
      <c r="X42" t="s">
        <v>139</v>
      </c>
    </row>
    <row r="43" spans="1:24">
      <c r="A43" t="s">
        <v>255</v>
      </c>
      <c r="B43" t="s">
        <v>278</v>
      </c>
      <c r="C43" t="s">
        <v>96</v>
      </c>
      <c r="D43" s="19" t="s">
        <v>271</v>
      </c>
      <c r="E43" t="s">
        <v>4</v>
      </c>
      <c r="F43" t="s">
        <v>202</v>
      </c>
      <c r="G43" s="12" t="s">
        <v>134</v>
      </c>
      <c r="J43" t="s">
        <v>281</v>
      </c>
      <c r="K43" t="s">
        <v>281</v>
      </c>
      <c r="L43" t="s">
        <v>97</v>
      </c>
      <c r="M43">
        <v>1</v>
      </c>
      <c r="N43" s="13">
        <f>Table1_1[[#This Row],[سعر البيع ]]/Table1_1[[#This Row],[الكمية]]</f>
        <v>8349</v>
      </c>
      <c r="O43">
        <v>8349</v>
      </c>
      <c r="P43" t="s">
        <v>10</v>
      </c>
      <c r="Q43">
        <v>32</v>
      </c>
      <c r="R43">
        <v>37</v>
      </c>
      <c r="S43" t="str">
        <f>IF(Table1_1[[#This Row],[مده التسليم (الفعلى)]]&lt;=Table1_1[[#This Row],[مده التسليم(الهدف)]],"تم التسليم في الموعد","لم يتم التسليم في الموعد")</f>
        <v>لم يتم التسليم في الموعد</v>
      </c>
      <c r="T43" s="11">
        <v>45549</v>
      </c>
      <c r="U43" s="11">
        <v>45581</v>
      </c>
      <c r="V43" s="11">
        <v>45586</v>
      </c>
      <c r="W43" t="s">
        <v>140</v>
      </c>
      <c r="X43" t="s">
        <v>139</v>
      </c>
    </row>
    <row r="44" spans="1:24">
      <c r="A44" t="s">
        <v>256</v>
      </c>
      <c r="B44" t="s">
        <v>278</v>
      </c>
      <c r="C44" t="s">
        <v>43</v>
      </c>
      <c r="D44" s="19" t="s">
        <v>272</v>
      </c>
      <c r="E44" t="s">
        <v>4</v>
      </c>
      <c r="F44" t="s">
        <v>202</v>
      </c>
      <c r="G44" s="12" t="s">
        <v>135</v>
      </c>
      <c r="J44" t="s">
        <v>281</v>
      </c>
      <c r="K44" t="s">
        <v>281</v>
      </c>
      <c r="L44" t="s">
        <v>19</v>
      </c>
      <c r="M44">
        <v>1</v>
      </c>
      <c r="N44" s="13">
        <f>Table1_1[[#This Row],[سعر البيع ]]/Table1_1[[#This Row],[الكمية]]</f>
        <v>7849</v>
      </c>
      <c r="O44">
        <v>7849</v>
      </c>
      <c r="P44" t="s">
        <v>10</v>
      </c>
      <c r="Q44">
        <v>45</v>
      </c>
      <c r="R44">
        <v>46</v>
      </c>
      <c r="S44" t="str">
        <f>IF(Table1_1[[#This Row],[مده التسليم (الفعلى)]]&lt;=Table1_1[[#This Row],[مده التسليم(الهدف)]],"تم التسليم في الموعد","لم يتم التسليم في الموعد")</f>
        <v>لم يتم التسليم في الموعد</v>
      </c>
      <c r="T44" s="11">
        <v>45549</v>
      </c>
      <c r="U44" s="11">
        <v>45594</v>
      </c>
      <c r="V44" s="11">
        <v>45595</v>
      </c>
      <c r="W44" t="s">
        <v>140</v>
      </c>
      <c r="X44" t="s">
        <v>139</v>
      </c>
    </row>
    <row r="45" spans="1:24">
      <c r="A45" t="s">
        <v>83</v>
      </c>
      <c r="B45" t="s">
        <v>278</v>
      </c>
      <c r="C45" t="s">
        <v>25</v>
      </c>
      <c r="D45" s="19" t="s">
        <v>271</v>
      </c>
      <c r="E45" t="s">
        <v>4</v>
      </c>
      <c r="F45" t="s">
        <v>105</v>
      </c>
      <c r="G45" s="12" t="s">
        <v>106</v>
      </c>
      <c r="J45" t="s">
        <v>119</v>
      </c>
      <c r="K45" t="s">
        <v>119</v>
      </c>
      <c r="L45" t="s">
        <v>84</v>
      </c>
      <c r="M45">
        <v>1</v>
      </c>
      <c r="N45" s="13">
        <f>Table1_1[[#This Row],[سعر البيع ]]/Table1_1[[#This Row],[الكمية]]</f>
        <v>9399</v>
      </c>
      <c r="O45">
        <v>9399</v>
      </c>
      <c r="P45" t="s">
        <v>10</v>
      </c>
      <c r="Q45">
        <v>45</v>
      </c>
      <c r="R45">
        <v>31</v>
      </c>
      <c r="S45" t="str">
        <f>IF(Table1_1[[#This Row],[مده التسليم (الفعلى)]]&lt;=Table1_1[[#This Row],[مده التسليم(الهدف)]],"تم التسليم في الموعد","لم يتم التسليم في الموعد")</f>
        <v>تم التسليم في الموعد</v>
      </c>
      <c r="T45" s="11">
        <v>45549</v>
      </c>
      <c r="U45" s="11">
        <v>45594</v>
      </c>
      <c r="V45" s="11">
        <v>45580</v>
      </c>
      <c r="W45" t="s">
        <v>140</v>
      </c>
      <c r="X45" t="s">
        <v>139</v>
      </c>
    </row>
    <row r="46" spans="1:24">
      <c r="A46" t="s">
        <v>257</v>
      </c>
      <c r="B46" t="s">
        <v>278</v>
      </c>
      <c r="C46" t="s">
        <v>85</v>
      </c>
      <c r="D46" s="19" t="s">
        <v>271</v>
      </c>
      <c r="E46" t="s">
        <v>4</v>
      </c>
      <c r="F46" t="s">
        <v>105</v>
      </c>
      <c r="G46" s="12" t="s">
        <v>108</v>
      </c>
      <c r="H46" s="12" t="s">
        <v>111</v>
      </c>
      <c r="I46">
        <v>140</v>
      </c>
      <c r="J46" t="s">
        <v>119</v>
      </c>
      <c r="K46" t="s">
        <v>153</v>
      </c>
      <c r="L46" t="s">
        <v>86</v>
      </c>
      <c r="M46">
        <v>1</v>
      </c>
      <c r="N46" s="13">
        <f>Table1_1[[#This Row],[سعر البيع ]]/Table1_1[[#This Row],[الكمية]]</f>
        <v>11817</v>
      </c>
      <c r="O46">
        <v>11817</v>
      </c>
      <c r="P46" t="s">
        <v>10</v>
      </c>
      <c r="Q46">
        <v>45</v>
      </c>
      <c r="R46">
        <v>31</v>
      </c>
      <c r="S46" t="str">
        <f>IF(Table1_1[[#This Row],[مده التسليم (الفعلى)]]&lt;=Table1_1[[#This Row],[مده التسليم(الهدف)]],"تم التسليم في الموعد","لم يتم التسليم في الموعد")</f>
        <v>تم التسليم في الموعد</v>
      </c>
      <c r="T46" s="11">
        <v>45549</v>
      </c>
      <c r="U46" s="11">
        <v>45594</v>
      </c>
      <c r="V46" s="11">
        <v>45580</v>
      </c>
      <c r="W46" t="s">
        <v>140</v>
      </c>
      <c r="X46" t="s">
        <v>139</v>
      </c>
    </row>
    <row r="47" spans="1:24">
      <c r="A47" t="s">
        <v>258</v>
      </c>
      <c r="B47" t="s">
        <v>278</v>
      </c>
      <c r="C47" t="s">
        <v>64</v>
      </c>
      <c r="D47" s="19" t="s">
        <v>272</v>
      </c>
      <c r="E47" t="s">
        <v>4</v>
      </c>
      <c r="F47" t="s">
        <v>202</v>
      </c>
      <c r="G47" s="12" t="s">
        <v>136</v>
      </c>
      <c r="J47" t="s">
        <v>281</v>
      </c>
      <c r="K47" t="s">
        <v>281</v>
      </c>
      <c r="L47" t="s">
        <v>87</v>
      </c>
      <c r="M47">
        <v>1</v>
      </c>
      <c r="N47" s="13">
        <f>Table1_1[[#This Row],[سعر البيع ]]/Table1_1[[#This Row],[الكمية]]</f>
        <v>8349</v>
      </c>
      <c r="O47">
        <v>8349</v>
      </c>
      <c r="P47" t="s">
        <v>10</v>
      </c>
      <c r="Q47">
        <v>45</v>
      </c>
      <c r="R47">
        <v>35</v>
      </c>
      <c r="S47" t="str">
        <f>IF(Table1_1[[#This Row],[مده التسليم (الفعلى)]]&lt;=Table1_1[[#This Row],[مده التسليم(الهدف)]],"تم التسليم في الموعد","لم يتم التسليم في الموعد")</f>
        <v>تم التسليم في الموعد</v>
      </c>
      <c r="T47" s="11">
        <v>45549</v>
      </c>
      <c r="U47" s="11">
        <v>45594</v>
      </c>
      <c r="V47" s="11">
        <v>45584</v>
      </c>
      <c r="W47" t="s">
        <v>140</v>
      </c>
      <c r="X47" t="s">
        <v>139</v>
      </c>
    </row>
    <row r="48" spans="1:24">
      <c r="A48" t="s">
        <v>259</v>
      </c>
      <c r="B48" t="s">
        <v>278</v>
      </c>
      <c r="C48" t="s">
        <v>89</v>
      </c>
      <c r="D48" s="19" t="s">
        <v>272</v>
      </c>
      <c r="E48" t="s">
        <v>4</v>
      </c>
      <c r="F48" t="s">
        <v>105</v>
      </c>
      <c r="G48" s="12" t="s">
        <v>108</v>
      </c>
      <c r="H48" s="12" t="s">
        <v>127</v>
      </c>
      <c r="I48">
        <v>120</v>
      </c>
      <c r="J48" t="s">
        <v>118</v>
      </c>
      <c r="K48" t="s">
        <v>118</v>
      </c>
      <c r="L48" t="s">
        <v>90</v>
      </c>
      <c r="M48">
        <v>2</v>
      </c>
      <c r="N48" s="13">
        <f>Table1_1[[#This Row],[سعر البيع ]]/Table1_1[[#This Row],[الكمية]]</f>
        <v>8943</v>
      </c>
      <c r="O48">
        <v>17886</v>
      </c>
      <c r="P48" t="s">
        <v>10</v>
      </c>
      <c r="Q48">
        <v>45</v>
      </c>
      <c r="R48">
        <v>0</v>
      </c>
      <c r="T48" s="11">
        <v>45549</v>
      </c>
      <c r="U48" s="11">
        <v>45594</v>
      </c>
      <c r="X48" t="s">
        <v>311</v>
      </c>
    </row>
    <row r="49" spans="1:24">
      <c r="A49" t="s">
        <v>91</v>
      </c>
      <c r="B49" t="s">
        <v>278</v>
      </c>
      <c r="C49" t="s">
        <v>47</v>
      </c>
      <c r="D49" s="19" t="s">
        <v>272</v>
      </c>
      <c r="E49" t="s">
        <v>4</v>
      </c>
      <c r="F49" t="s">
        <v>105</v>
      </c>
      <c r="G49" s="12" t="s">
        <v>108</v>
      </c>
      <c r="H49" s="12" t="s">
        <v>111</v>
      </c>
      <c r="I49">
        <v>120</v>
      </c>
      <c r="J49" t="s">
        <v>118</v>
      </c>
      <c r="K49" t="s">
        <v>118</v>
      </c>
      <c r="L49" t="s">
        <v>92</v>
      </c>
      <c r="M49">
        <v>2</v>
      </c>
      <c r="N49" s="13">
        <f>Table1_1[[#This Row],[سعر البيع ]]/Table1_1[[#This Row],[الكمية]]</f>
        <v>5493.5</v>
      </c>
      <c r="O49">
        <v>10987</v>
      </c>
      <c r="P49" t="s">
        <v>10</v>
      </c>
      <c r="Q49">
        <v>45</v>
      </c>
      <c r="R49">
        <v>29</v>
      </c>
      <c r="S49" t="str">
        <f>IF(Table1_1[[#This Row],[مده التسليم (الفعلى)]]&lt;=Table1_1[[#This Row],[مده التسليم(الهدف)]],"تم التسليم في الموعد","لم يتم التسليم في الموعد")</f>
        <v>تم التسليم في الموعد</v>
      </c>
      <c r="T49" s="11">
        <v>45549</v>
      </c>
      <c r="U49" s="11">
        <v>45594</v>
      </c>
      <c r="V49" s="11">
        <v>45578</v>
      </c>
      <c r="W49" t="s">
        <v>140</v>
      </c>
      <c r="X49" t="s">
        <v>139</v>
      </c>
    </row>
    <row r="50" spans="1:24">
      <c r="A50" t="s">
        <v>260</v>
      </c>
      <c r="B50" t="s">
        <v>278</v>
      </c>
      <c r="C50" t="s">
        <v>94</v>
      </c>
      <c r="D50" s="19" t="s">
        <v>315</v>
      </c>
      <c r="E50" t="s">
        <v>4</v>
      </c>
      <c r="F50" t="s">
        <v>202</v>
      </c>
      <c r="G50" s="12" t="s">
        <v>134</v>
      </c>
      <c r="J50" t="s">
        <v>281</v>
      </c>
      <c r="K50" t="s">
        <v>281</v>
      </c>
      <c r="L50" t="s">
        <v>44</v>
      </c>
      <c r="M50">
        <v>1</v>
      </c>
      <c r="N50" s="13">
        <f>Table1_1[[#This Row],[سعر البيع ]]/Table1_1[[#This Row],[الكمية]]</f>
        <v>10319</v>
      </c>
      <c r="O50">
        <v>10319</v>
      </c>
      <c r="P50" t="s">
        <v>10</v>
      </c>
      <c r="Q50">
        <v>45</v>
      </c>
      <c r="R50">
        <v>35</v>
      </c>
      <c r="S50" t="str">
        <f>IF(Table1_1[[#This Row],[مده التسليم (الفعلى)]]&lt;=Table1_1[[#This Row],[مده التسليم(الهدف)]],"تم التسليم في الموعد","لم يتم التسليم في الموعد")</f>
        <v>تم التسليم في الموعد</v>
      </c>
      <c r="T50" s="11">
        <v>45549</v>
      </c>
      <c r="U50" s="11">
        <v>45594</v>
      </c>
      <c r="V50" s="11">
        <v>45584</v>
      </c>
      <c r="W50" t="s">
        <v>140</v>
      </c>
      <c r="X50" t="s">
        <v>139</v>
      </c>
    </row>
    <row r="51" spans="1:24">
      <c r="A51" t="s">
        <v>261</v>
      </c>
      <c r="B51" t="s">
        <v>278</v>
      </c>
      <c r="C51" t="s">
        <v>79</v>
      </c>
      <c r="D51" s="19" t="s">
        <v>316</v>
      </c>
      <c r="E51" t="s">
        <v>4</v>
      </c>
      <c r="F51" t="s">
        <v>105</v>
      </c>
      <c r="G51" s="12" t="s">
        <v>117</v>
      </c>
      <c r="H51" s="12" t="s">
        <v>110</v>
      </c>
      <c r="I51">
        <v>120</v>
      </c>
      <c r="J51" t="s">
        <v>123</v>
      </c>
      <c r="K51" t="s">
        <v>123</v>
      </c>
      <c r="L51" t="s">
        <v>80</v>
      </c>
      <c r="M51">
        <v>1</v>
      </c>
      <c r="N51" s="13">
        <f>Table1_1[[#This Row],[سعر البيع ]]/Table1_1[[#This Row],[الكمية]]</f>
        <v>12999</v>
      </c>
      <c r="O51">
        <v>12999</v>
      </c>
      <c r="P51" t="s">
        <v>10</v>
      </c>
      <c r="Q51">
        <v>67</v>
      </c>
      <c r="R51">
        <v>33</v>
      </c>
      <c r="S51" t="str">
        <f>IF(Table1_1[[#This Row],[مده التسليم (الفعلى)]]&lt;=Table1_1[[#This Row],[مده التسليم(الهدف)]],"تم التسليم في الموعد","لم يتم التسليم في الموعد")</f>
        <v>تم التسليم في الموعد</v>
      </c>
      <c r="T51" s="11">
        <v>45549</v>
      </c>
      <c r="U51" s="11">
        <v>45616</v>
      </c>
      <c r="V51" s="11">
        <v>45582</v>
      </c>
      <c r="W51" t="s">
        <v>20</v>
      </c>
      <c r="X51" t="s">
        <v>139</v>
      </c>
    </row>
    <row r="52" spans="1:24">
      <c r="A52" t="s">
        <v>81</v>
      </c>
      <c r="B52" t="s">
        <v>278</v>
      </c>
      <c r="C52" t="s">
        <v>82</v>
      </c>
      <c r="D52" s="19" t="s">
        <v>314</v>
      </c>
      <c r="E52" t="s">
        <v>4</v>
      </c>
      <c r="F52" t="s">
        <v>115</v>
      </c>
      <c r="G52" s="12" t="s">
        <v>116</v>
      </c>
      <c r="J52" t="s">
        <v>119</v>
      </c>
      <c r="K52" t="s">
        <v>281</v>
      </c>
      <c r="L52" t="s">
        <v>74</v>
      </c>
      <c r="M52">
        <v>1</v>
      </c>
      <c r="N52" s="13">
        <f>Table1_1[[#This Row],[سعر البيع ]]/Table1_1[[#This Row],[الكمية]]</f>
        <v>21999</v>
      </c>
      <c r="O52">
        <v>21999</v>
      </c>
      <c r="P52" t="s">
        <v>10</v>
      </c>
      <c r="Q52">
        <v>67</v>
      </c>
      <c r="R52">
        <v>0</v>
      </c>
      <c r="T52" s="11">
        <v>45549</v>
      </c>
      <c r="U52" s="11">
        <v>45616</v>
      </c>
      <c r="X52" t="s">
        <v>311</v>
      </c>
    </row>
    <row r="53" spans="1:24">
      <c r="A53" t="s">
        <v>262</v>
      </c>
      <c r="B53" t="s">
        <v>278</v>
      </c>
      <c r="C53" t="s">
        <v>64</v>
      </c>
      <c r="D53" s="19" t="s">
        <v>272</v>
      </c>
      <c r="E53" t="s">
        <v>4</v>
      </c>
      <c r="F53" t="s">
        <v>105</v>
      </c>
      <c r="G53" s="12" t="s">
        <v>117</v>
      </c>
      <c r="H53" s="12" t="s">
        <v>107</v>
      </c>
      <c r="I53">
        <v>100</v>
      </c>
      <c r="J53" t="s">
        <v>123</v>
      </c>
      <c r="K53" t="s">
        <v>123</v>
      </c>
      <c r="L53" t="s">
        <v>88</v>
      </c>
      <c r="M53">
        <v>1</v>
      </c>
      <c r="N53" s="13">
        <f>Table1_1[[#This Row],[سعر البيع ]]/Table1_1[[#This Row],[الكمية]]</f>
        <v>12399</v>
      </c>
      <c r="O53">
        <v>12399</v>
      </c>
      <c r="P53" t="s">
        <v>10</v>
      </c>
      <c r="Q53">
        <v>67</v>
      </c>
      <c r="R53">
        <v>17</v>
      </c>
      <c r="S53" t="str">
        <f>IF(Table1_1[[#This Row],[مده التسليم (الفعلى)]]&lt;=Table1_1[[#This Row],[مده التسليم(الهدف)]],"تم التسليم في الموعد","لم يتم التسليم في الموعد")</f>
        <v>تم التسليم في الموعد</v>
      </c>
      <c r="T53" s="11">
        <v>45549</v>
      </c>
      <c r="U53" s="11">
        <v>45616</v>
      </c>
      <c r="V53" s="11">
        <v>45566</v>
      </c>
      <c r="W53" t="s">
        <v>20</v>
      </c>
      <c r="X53" t="s">
        <v>139</v>
      </c>
    </row>
    <row r="54" spans="1:24">
      <c r="A54" t="s">
        <v>93</v>
      </c>
      <c r="B54" t="s">
        <v>278</v>
      </c>
      <c r="C54" t="s">
        <v>47</v>
      </c>
      <c r="D54" s="19" t="s">
        <v>272</v>
      </c>
      <c r="E54" t="s">
        <v>4</v>
      </c>
      <c r="F54" t="s">
        <v>115</v>
      </c>
      <c r="G54" s="12" t="s">
        <v>116</v>
      </c>
      <c r="J54" t="s">
        <v>119</v>
      </c>
      <c r="K54" t="s">
        <v>281</v>
      </c>
      <c r="L54" t="s">
        <v>74</v>
      </c>
      <c r="M54">
        <v>1</v>
      </c>
      <c r="N54" s="13">
        <f>Table1_1[[#This Row],[سعر البيع ]]/Table1_1[[#This Row],[الكمية]]</f>
        <v>21999</v>
      </c>
      <c r="O54">
        <v>21999</v>
      </c>
      <c r="P54" t="s">
        <v>10</v>
      </c>
      <c r="Q54">
        <v>67</v>
      </c>
      <c r="R54">
        <v>25</v>
      </c>
      <c r="S54" t="str">
        <f>IF(Table1_1[[#This Row],[مده التسليم (الفعلى)]]&lt;=Table1_1[[#This Row],[مده التسليم(الهدف)]],"تم التسليم في الموعد","لم يتم التسليم في الموعد")</f>
        <v>تم التسليم في الموعد</v>
      </c>
      <c r="T54" s="11">
        <v>45549</v>
      </c>
      <c r="U54" s="11">
        <v>45616</v>
      </c>
      <c r="V54" s="11">
        <v>45574</v>
      </c>
      <c r="W54" t="s">
        <v>140</v>
      </c>
      <c r="X54" t="s">
        <v>139</v>
      </c>
    </row>
    <row r="55" spans="1:24">
      <c r="A55" t="s">
        <v>263</v>
      </c>
      <c r="B55" t="s">
        <v>278</v>
      </c>
      <c r="C55" t="s">
        <v>43</v>
      </c>
      <c r="D55" s="19" t="s">
        <v>272</v>
      </c>
      <c r="E55" t="s">
        <v>4</v>
      </c>
      <c r="F55" t="s">
        <v>105</v>
      </c>
      <c r="G55" s="12" t="s">
        <v>117</v>
      </c>
      <c r="H55" s="12" t="s">
        <v>107</v>
      </c>
      <c r="I55">
        <v>80</v>
      </c>
      <c r="J55" t="s">
        <v>118</v>
      </c>
      <c r="K55" t="s">
        <v>118</v>
      </c>
      <c r="L55" t="s">
        <v>95</v>
      </c>
      <c r="M55">
        <v>1</v>
      </c>
      <c r="N55" s="13">
        <f>Table1_1[[#This Row],[سعر البيع ]]/Table1_1[[#This Row],[الكمية]]</f>
        <v>10999</v>
      </c>
      <c r="O55">
        <v>10999</v>
      </c>
      <c r="P55" t="s">
        <v>10</v>
      </c>
      <c r="Q55">
        <v>67</v>
      </c>
      <c r="R55">
        <v>32</v>
      </c>
      <c r="S55" t="str">
        <f>IF(Table1_1[[#This Row],[مده التسليم (الفعلى)]]&lt;=Table1_1[[#This Row],[مده التسليم(الهدف)]],"تم التسليم في الموعد","لم يتم التسليم في الموعد")</f>
        <v>تم التسليم في الموعد</v>
      </c>
      <c r="T55" s="11">
        <v>45549</v>
      </c>
      <c r="U55" s="11">
        <v>45616</v>
      </c>
      <c r="V55" s="11">
        <v>45581</v>
      </c>
      <c r="W55" t="s">
        <v>140</v>
      </c>
      <c r="X55" t="s">
        <v>139</v>
      </c>
    </row>
    <row r="56" spans="1:24">
      <c r="A56" t="s">
        <v>130</v>
      </c>
      <c r="B56" t="s">
        <v>278</v>
      </c>
      <c r="C56" t="s">
        <v>131</v>
      </c>
      <c r="D56" s="19" t="s">
        <v>272</v>
      </c>
      <c r="E56" t="s">
        <v>4</v>
      </c>
      <c r="F56" t="s">
        <v>105</v>
      </c>
      <c r="G56" s="12" t="s">
        <v>117</v>
      </c>
      <c r="H56" s="12" t="s">
        <v>110</v>
      </c>
      <c r="I56">
        <v>80</v>
      </c>
      <c r="J56" t="s">
        <v>118</v>
      </c>
      <c r="K56" t="s">
        <v>281</v>
      </c>
      <c r="M56">
        <v>1</v>
      </c>
      <c r="N56" s="13">
        <f>Table1_1[[#This Row],[سعر البيع ]]/Table1_1[[#This Row],[الكمية]]</f>
        <v>10999</v>
      </c>
      <c r="O56">
        <v>10999</v>
      </c>
      <c r="P56" t="s">
        <v>10</v>
      </c>
      <c r="Q56">
        <v>66</v>
      </c>
      <c r="R56">
        <v>31</v>
      </c>
      <c r="S56" t="str">
        <f>IF(Table1_1[[#This Row],[مده التسليم (الفعلى)]]&lt;=Table1_1[[#This Row],[مده التسليم(الهدف)]],"تم التسليم في الموعد","لم يتم التسليم في الموعد")</f>
        <v>تم التسليم في الموعد</v>
      </c>
      <c r="T56" s="11">
        <v>45550</v>
      </c>
      <c r="U56" s="11">
        <v>45616</v>
      </c>
      <c r="V56" s="11">
        <v>45581</v>
      </c>
      <c r="W56" t="s">
        <v>140</v>
      </c>
      <c r="X56" t="s">
        <v>139</v>
      </c>
    </row>
    <row r="57" spans="1:24">
      <c r="A57" t="s">
        <v>132</v>
      </c>
      <c r="B57" t="s">
        <v>278</v>
      </c>
      <c r="C57" t="s">
        <v>133</v>
      </c>
      <c r="D57" s="19" t="s">
        <v>272</v>
      </c>
      <c r="E57" t="s">
        <v>4</v>
      </c>
      <c r="F57" t="s">
        <v>115</v>
      </c>
      <c r="G57" s="12" t="s">
        <v>116</v>
      </c>
      <c r="J57" t="s">
        <v>119</v>
      </c>
      <c r="K57" t="s">
        <v>123</v>
      </c>
      <c r="M57">
        <v>1</v>
      </c>
      <c r="N57" s="13">
        <f>Table1_1[[#This Row],[سعر البيع ]]/Table1_1[[#This Row],[الكمية]]</f>
        <v>21999</v>
      </c>
      <c r="O57">
        <v>21999</v>
      </c>
      <c r="P57" t="s">
        <v>10</v>
      </c>
      <c r="Q57">
        <v>66</v>
      </c>
      <c r="R57">
        <v>34</v>
      </c>
      <c r="S57" t="str">
        <f>IF(Table1_1[[#This Row],[مده التسليم (الفعلى)]]&lt;=Table1_1[[#This Row],[مده التسليم(الهدف)]],"تم التسليم في الموعد","لم يتم التسليم في الموعد")</f>
        <v>تم التسليم في الموعد</v>
      </c>
      <c r="T57" s="11">
        <v>45550</v>
      </c>
      <c r="U57" s="11">
        <v>45616</v>
      </c>
      <c r="V57" s="11">
        <v>45584</v>
      </c>
      <c r="W57" t="s">
        <v>140</v>
      </c>
      <c r="X57" t="s">
        <v>139</v>
      </c>
    </row>
    <row r="58" spans="1:24">
      <c r="A58" t="s">
        <v>138</v>
      </c>
      <c r="B58" t="s">
        <v>278</v>
      </c>
      <c r="C58" t="s">
        <v>100</v>
      </c>
      <c r="D58" s="19" t="s">
        <v>150</v>
      </c>
      <c r="E58" t="s">
        <v>4</v>
      </c>
      <c r="F58" t="s">
        <v>202</v>
      </c>
      <c r="G58" s="12" t="s">
        <v>134</v>
      </c>
      <c r="J58" t="s">
        <v>281</v>
      </c>
      <c r="K58" t="s">
        <v>281</v>
      </c>
      <c r="M58">
        <v>1</v>
      </c>
      <c r="N58" s="13">
        <f>Table1_1[[#This Row],[سعر البيع ]]/Table1_1[[#This Row],[الكمية]]</f>
        <v>7849</v>
      </c>
      <c r="O58">
        <v>7849</v>
      </c>
      <c r="P58" t="s">
        <v>275</v>
      </c>
      <c r="Q58">
        <v>44</v>
      </c>
      <c r="R58">
        <v>59</v>
      </c>
      <c r="S58" t="str">
        <f>IF(Table1_1[[#This Row],[مده التسليم (الفعلى)]]&lt;=Table1_1[[#This Row],[مده التسليم(الهدف)]],"تم التسليم في الموعد","لم يتم التسليم في الموعد")</f>
        <v>لم يتم التسليم في الموعد</v>
      </c>
      <c r="T58" s="11">
        <v>45551</v>
      </c>
      <c r="U58" s="11">
        <v>45595</v>
      </c>
      <c r="V58" s="11">
        <v>45610</v>
      </c>
      <c r="W58" t="s">
        <v>20</v>
      </c>
      <c r="X58" t="s">
        <v>139</v>
      </c>
    </row>
    <row r="59" spans="1:24">
      <c r="A59" t="s">
        <v>59</v>
      </c>
      <c r="B59" t="s">
        <v>279</v>
      </c>
      <c r="C59" t="s">
        <v>141</v>
      </c>
      <c r="D59" s="19" t="s">
        <v>315</v>
      </c>
      <c r="E59" t="s">
        <v>307</v>
      </c>
      <c r="F59" t="s">
        <v>105</v>
      </c>
      <c r="G59" s="12" t="s">
        <v>117</v>
      </c>
      <c r="H59" s="12" t="s">
        <v>110</v>
      </c>
      <c r="I59">
        <v>80</v>
      </c>
      <c r="J59" t="s">
        <v>118</v>
      </c>
      <c r="K59" t="s">
        <v>281</v>
      </c>
      <c r="M59">
        <v>1</v>
      </c>
      <c r="N59" s="13">
        <f>Table1_1[[#This Row],[سعر البيع ]]/Table1_1[[#This Row],[الكمية]]</f>
        <v>5074</v>
      </c>
      <c r="O59">
        <v>5074</v>
      </c>
      <c r="P59" t="s">
        <v>61</v>
      </c>
      <c r="Q59">
        <v>14</v>
      </c>
      <c r="R59">
        <v>21</v>
      </c>
      <c r="S59" t="str">
        <f>IF(Table1_1[[#This Row],[مده التسليم (الفعلى)]]&lt;=Table1_1[[#This Row],[مده التسليم(الهدف)]],"تم التسليم في الموعد","لم يتم التسليم في الموعد")</f>
        <v>لم يتم التسليم في الموعد</v>
      </c>
      <c r="T59" s="11">
        <v>45556</v>
      </c>
      <c r="U59" s="11">
        <v>45570</v>
      </c>
      <c r="V59" s="11">
        <v>45577</v>
      </c>
      <c r="W59" t="s">
        <v>140</v>
      </c>
      <c r="X59" t="s">
        <v>139</v>
      </c>
    </row>
    <row r="60" spans="1:24">
      <c r="A60" t="s">
        <v>269</v>
      </c>
      <c r="B60" t="s">
        <v>279</v>
      </c>
      <c r="C60" t="s">
        <v>27</v>
      </c>
      <c r="D60" s="19" t="s">
        <v>272</v>
      </c>
      <c r="E60" t="s">
        <v>28</v>
      </c>
      <c r="F60" t="s">
        <v>105</v>
      </c>
      <c r="G60" s="12" t="s">
        <v>117</v>
      </c>
      <c r="H60" s="12" t="s">
        <v>109</v>
      </c>
      <c r="I60">
        <v>100</v>
      </c>
      <c r="J60" t="s">
        <v>142</v>
      </c>
      <c r="K60" t="s">
        <v>281</v>
      </c>
      <c r="M60">
        <v>1</v>
      </c>
      <c r="N60" s="13">
        <f>Table1_1[[#This Row],[سعر البيع ]]/Table1_1[[#This Row],[الكمية]]</f>
        <v>6250</v>
      </c>
      <c r="O60">
        <v>6250</v>
      </c>
      <c r="P60" t="s">
        <v>61</v>
      </c>
      <c r="Q60">
        <v>15</v>
      </c>
      <c r="R60">
        <v>24</v>
      </c>
      <c r="S60" t="str">
        <f>IF(Table1_1[[#This Row],[مده التسليم (الفعلى)]]&lt;=Table1_1[[#This Row],[مده التسليم(الهدف)]],"تم التسليم في الموعد","لم يتم التسليم في الموعد")</f>
        <v>لم يتم التسليم في الموعد</v>
      </c>
      <c r="T60" s="11">
        <v>45558</v>
      </c>
      <c r="U60" s="11">
        <v>45573</v>
      </c>
      <c r="V60" s="11">
        <v>45582</v>
      </c>
      <c r="W60" t="s">
        <v>140</v>
      </c>
      <c r="X60" t="s">
        <v>139</v>
      </c>
    </row>
    <row r="61" spans="1:24">
      <c r="A61" t="s">
        <v>143</v>
      </c>
      <c r="B61" t="s">
        <v>278</v>
      </c>
      <c r="C61" t="s">
        <v>27</v>
      </c>
      <c r="D61" s="19" t="s">
        <v>272</v>
      </c>
      <c r="E61" t="s">
        <v>4</v>
      </c>
      <c r="F61" t="s">
        <v>105</v>
      </c>
      <c r="G61" s="12" t="s">
        <v>108</v>
      </c>
      <c r="H61" s="12" t="s">
        <v>127</v>
      </c>
      <c r="I61">
        <v>120</v>
      </c>
      <c r="J61" t="s">
        <v>118</v>
      </c>
      <c r="K61" t="s">
        <v>281</v>
      </c>
      <c r="M61">
        <v>1</v>
      </c>
      <c r="N61" s="13">
        <f>Table1_1[[#This Row],[سعر البيع ]]/Table1_1[[#This Row],[الكمية]]</f>
        <v>8943</v>
      </c>
      <c r="O61">
        <v>8943</v>
      </c>
      <c r="P61" t="s">
        <v>275</v>
      </c>
      <c r="Q61">
        <v>45</v>
      </c>
      <c r="R61">
        <v>14</v>
      </c>
      <c r="S61" t="str">
        <f>IF(Table1_1[[#This Row],[مده التسليم (الفعلى)]]&lt;=Table1_1[[#This Row],[مده التسليم(الهدف)]],"تم التسليم في الموعد","لم يتم التسليم في الموعد")</f>
        <v>تم التسليم في الموعد</v>
      </c>
      <c r="T61" s="11">
        <v>45561</v>
      </c>
      <c r="U61" s="11">
        <v>45606</v>
      </c>
      <c r="V61" s="11">
        <v>45575</v>
      </c>
      <c r="W61" t="s">
        <v>140</v>
      </c>
      <c r="X61" t="s">
        <v>139</v>
      </c>
    </row>
    <row r="62" spans="1:24">
      <c r="A62" t="s">
        <v>144</v>
      </c>
      <c r="B62" t="s">
        <v>278</v>
      </c>
      <c r="C62" t="s">
        <v>145</v>
      </c>
      <c r="D62" s="19" t="s">
        <v>271</v>
      </c>
      <c r="E62" t="s">
        <v>4</v>
      </c>
      <c r="F62" t="s">
        <v>202</v>
      </c>
      <c r="G62" s="12" t="s">
        <v>136</v>
      </c>
      <c r="J62" t="s">
        <v>281</v>
      </c>
      <c r="K62" t="s">
        <v>281</v>
      </c>
      <c r="M62">
        <v>1</v>
      </c>
      <c r="N62" s="13">
        <f>Table1_1[[#This Row],[سعر البيع ]]/Table1_1[[#This Row],[الكمية]]</f>
        <v>8349</v>
      </c>
      <c r="O62">
        <v>8349</v>
      </c>
      <c r="P62" t="s">
        <v>275</v>
      </c>
      <c r="Q62">
        <v>45</v>
      </c>
      <c r="R62">
        <v>0</v>
      </c>
      <c r="T62" s="11">
        <v>45561</v>
      </c>
      <c r="U62" s="11">
        <v>45606</v>
      </c>
      <c r="X62" t="s">
        <v>311</v>
      </c>
    </row>
    <row r="63" spans="1:24">
      <c r="A63" t="s">
        <v>36</v>
      </c>
      <c r="B63" t="s">
        <v>279</v>
      </c>
      <c r="C63" t="s">
        <v>160</v>
      </c>
      <c r="D63" s="19" t="s">
        <v>272</v>
      </c>
      <c r="E63" t="s">
        <v>36</v>
      </c>
      <c r="F63" t="s">
        <v>115</v>
      </c>
      <c r="G63" s="12" t="s">
        <v>116</v>
      </c>
      <c r="J63" t="s">
        <v>281</v>
      </c>
      <c r="K63" t="s">
        <v>309</v>
      </c>
      <c r="M63">
        <v>1</v>
      </c>
      <c r="N63" s="13">
        <f>Table1_1[[#This Row],[سعر البيع ]]/Table1_1[[#This Row],[الكمية]]</f>
        <v>14950</v>
      </c>
      <c r="O63">
        <v>14950</v>
      </c>
      <c r="P63" t="s">
        <v>10</v>
      </c>
      <c r="Q63">
        <v>18</v>
      </c>
      <c r="R63">
        <v>17</v>
      </c>
      <c r="S63" t="str">
        <f>IF(Table1_1[[#This Row],[مده التسليم (الفعلى)]]&lt;=Table1_1[[#This Row],[مده التسليم(الهدف)]],"تم التسليم في الموعد","لم يتم التسليم في الموعد")</f>
        <v>تم التسليم في الموعد</v>
      </c>
      <c r="T63" s="11">
        <v>45561</v>
      </c>
      <c r="U63" s="11">
        <v>45579</v>
      </c>
      <c r="V63" s="11">
        <v>45578</v>
      </c>
      <c r="W63" t="s">
        <v>140</v>
      </c>
      <c r="X63" t="s">
        <v>139</v>
      </c>
    </row>
    <row r="64" spans="1:24">
      <c r="A64" t="s">
        <v>36</v>
      </c>
      <c r="B64" t="s">
        <v>279</v>
      </c>
      <c r="D64" s="19" t="s">
        <v>283</v>
      </c>
      <c r="E64" t="s">
        <v>36</v>
      </c>
      <c r="F64" t="s">
        <v>105</v>
      </c>
      <c r="G64" s="12" t="s">
        <v>117</v>
      </c>
      <c r="H64" s="12" t="s">
        <v>109</v>
      </c>
      <c r="I64">
        <v>100</v>
      </c>
      <c r="J64" t="s">
        <v>146</v>
      </c>
      <c r="K64" t="s">
        <v>281</v>
      </c>
      <c r="M64">
        <v>1</v>
      </c>
      <c r="N64" s="13">
        <f>Table1_1[[#This Row],[سعر البيع ]]/Table1_1[[#This Row],[الكمية]]</f>
        <v>9208</v>
      </c>
      <c r="O64">
        <v>9208</v>
      </c>
      <c r="P64" t="s">
        <v>275</v>
      </c>
      <c r="Q64">
        <v>18</v>
      </c>
      <c r="R64">
        <v>0</v>
      </c>
      <c r="T64" s="11">
        <v>45561</v>
      </c>
      <c r="U64" s="11">
        <v>45579</v>
      </c>
      <c r="X64" t="s">
        <v>311</v>
      </c>
    </row>
    <row r="65" spans="1:24">
      <c r="A65" t="s">
        <v>36</v>
      </c>
      <c r="B65" t="s">
        <v>279</v>
      </c>
      <c r="D65" s="19" t="s">
        <v>283</v>
      </c>
      <c r="E65" t="s">
        <v>36</v>
      </c>
      <c r="F65" t="s">
        <v>105</v>
      </c>
      <c r="G65" s="12" t="s">
        <v>108</v>
      </c>
      <c r="H65" s="12" t="s">
        <v>111</v>
      </c>
      <c r="I65">
        <v>120</v>
      </c>
      <c r="J65" t="s">
        <v>118</v>
      </c>
      <c r="K65" t="s">
        <v>281</v>
      </c>
      <c r="M65">
        <v>1</v>
      </c>
      <c r="N65" s="13">
        <f>Table1_1[[#This Row],[سعر البيع ]]/Table1_1[[#This Row],[الكمية]]</f>
        <v>7433</v>
      </c>
      <c r="O65">
        <v>7433</v>
      </c>
      <c r="P65" t="s">
        <v>10</v>
      </c>
      <c r="Q65">
        <v>21</v>
      </c>
      <c r="R65">
        <v>22</v>
      </c>
      <c r="S65" t="str">
        <f>IF(Table1_1[[#This Row],[مده التسليم (الفعلى)]]&lt;=Table1_1[[#This Row],[مده التسليم(الهدف)]],"تم التسليم في الموعد","لم يتم التسليم في الموعد")</f>
        <v>لم يتم التسليم في الموعد</v>
      </c>
      <c r="T65" s="11">
        <v>45564</v>
      </c>
      <c r="U65" s="11">
        <v>45585</v>
      </c>
      <c r="V65" s="11">
        <v>45586</v>
      </c>
      <c r="W65" t="s">
        <v>140</v>
      </c>
      <c r="X65" t="s">
        <v>139</v>
      </c>
    </row>
    <row r="66" spans="1:24">
      <c r="A66" t="s">
        <v>59</v>
      </c>
      <c r="B66" t="s">
        <v>279</v>
      </c>
      <c r="C66" t="s">
        <v>141</v>
      </c>
      <c r="D66" s="19" t="s">
        <v>315</v>
      </c>
      <c r="E66" t="s">
        <v>307</v>
      </c>
      <c r="F66" t="s">
        <v>105</v>
      </c>
      <c r="G66" s="12" t="s">
        <v>108</v>
      </c>
      <c r="H66" s="12" t="s">
        <v>127</v>
      </c>
      <c r="I66">
        <v>120</v>
      </c>
      <c r="J66" t="s">
        <v>118</v>
      </c>
      <c r="K66" t="s">
        <v>281</v>
      </c>
      <c r="M66">
        <v>1</v>
      </c>
      <c r="N66" s="13">
        <f>Table1_1[[#This Row],[سعر البيع ]]/Table1_1[[#This Row],[الكمية]]</f>
        <v>4020</v>
      </c>
      <c r="O66">
        <v>4020</v>
      </c>
      <c r="P66" t="s">
        <v>61</v>
      </c>
      <c r="Q66">
        <v>13</v>
      </c>
      <c r="R66">
        <v>13</v>
      </c>
      <c r="S66" t="str">
        <f>IF(Table1_1[[#This Row],[مده التسليم (الفعلى)]]&lt;=Table1_1[[#This Row],[مده التسليم(الهدف)]],"تم التسليم في الموعد","لم يتم التسليم في الموعد")</f>
        <v>تم التسليم في الموعد</v>
      </c>
      <c r="T66" s="11">
        <v>45564</v>
      </c>
      <c r="U66" s="11">
        <v>45577</v>
      </c>
      <c r="V66" s="11">
        <v>45577</v>
      </c>
      <c r="W66" t="s">
        <v>140</v>
      </c>
      <c r="X66" t="s">
        <v>139</v>
      </c>
    </row>
    <row r="67" spans="1:24">
      <c r="A67" t="s">
        <v>148</v>
      </c>
      <c r="B67" t="s">
        <v>278</v>
      </c>
      <c r="C67" t="s">
        <v>149</v>
      </c>
      <c r="D67" s="19" t="s">
        <v>150</v>
      </c>
      <c r="E67" t="s">
        <v>150</v>
      </c>
      <c r="F67" t="s">
        <v>105</v>
      </c>
      <c r="G67" s="12" t="s">
        <v>117</v>
      </c>
      <c r="H67" s="12" t="s">
        <v>173</v>
      </c>
      <c r="I67">
        <v>100</v>
      </c>
      <c r="J67" t="s">
        <v>174</v>
      </c>
      <c r="K67" t="s">
        <v>281</v>
      </c>
      <c r="M67">
        <v>1</v>
      </c>
      <c r="N67" s="13">
        <f>Table1_1[[#This Row],[سعر البيع ]]/Table1_1[[#This Row],[الكمية]]</f>
        <v>8544.9054400000005</v>
      </c>
      <c r="O67">
        <v>8544.9054400000005</v>
      </c>
      <c r="P67" t="s">
        <v>277</v>
      </c>
      <c r="Q67">
        <v>8</v>
      </c>
      <c r="R67">
        <v>8</v>
      </c>
      <c r="S67" t="str">
        <f>IF(Table1_1[[#This Row],[مده التسليم (الفعلى)]]&lt;=Table1_1[[#This Row],[مده التسليم(الهدف)]],"تم التسليم في الموعد","لم يتم التسليم في الموعد")</f>
        <v>تم التسليم في الموعد</v>
      </c>
      <c r="T67" s="11">
        <v>45566</v>
      </c>
      <c r="U67" s="11">
        <v>45574</v>
      </c>
      <c r="V67" s="11">
        <v>45574</v>
      </c>
      <c r="W67" t="s">
        <v>158</v>
      </c>
      <c r="X67" t="s">
        <v>139</v>
      </c>
    </row>
    <row r="68" spans="1:24">
      <c r="A68" t="s">
        <v>148</v>
      </c>
      <c r="B68" t="s">
        <v>278</v>
      </c>
      <c r="C68" t="s">
        <v>149</v>
      </c>
      <c r="D68" s="19" t="s">
        <v>150</v>
      </c>
      <c r="E68" t="s">
        <v>150</v>
      </c>
      <c r="F68" t="s">
        <v>105</v>
      </c>
      <c r="G68" s="12" t="s">
        <v>106</v>
      </c>
      <c r="J68" t="s">
        <v>146</v>
      </c>
      <c r="K68" t="s">
        <v>153</v>
      </c>
      <c r="M68">
        <v>1</v>
      </c>
      <c r="N68" s="13">
        <f>Table1_1[[#This Row],[سعر البيع ]]/Table1_1[[#This Row],[الكمية]]</f>
        <v>4600</v>
      </c>
      <c r="O68">
        <v>4600</v>
      </c>
      <c r="P68" t="s">
        <v>277</v>
      </c>
      <c r="Q68">
        <v>8</v>
      </c>
      <c r="R68">
        <v>8</v>
      </c>
      <c r="S68" t="str">
        <f>IF(Table1_1[[#This Row],[مده التسليم (الفعلى)]]&lt;=Table1_1[[#This Row],[مده التسليم(الهدف)]],"تم التسليم في الموعد","لم يتم التسليم في الموعد")</f>
        <v>تم التسليم في الموعد</v>
      </c>
      <c r="T68" s="11">
        <v>45566</v>
      </c>
      <c r="U68" s="11">
        <v>45574</v>
      </c>
      <c r="V68" s="11">
        <v>45574</v>
      </c>
      <c r="W68" t="s">
        <v>158</v>
      </c>
      <c r="X68" t="s">
        <v>139</v>
      </c>
    </row>
    <row r="69" spans="1:24">
      <c r="A69" t="s">
        <v>148</v>
      </c>
      <c r="B69" t="s">
        <v>278</v>
      </c>
      <c r="C69" t="s">
        <v>149</v>
      </c>
      <c r="D69" s="19" t="s">
        <v>150</v>
      </c>
      <c r="E69" t="s">
        <v>150</v>
      </c>
      <c r="F69" t="s">
        <v>115</v>
      </c>
      <c r="G69" s="12" t="s">
        <v>151</v>
      </c>
      <c r="J69" t="s">
        <v>119</v>
      </c>
      <c r="K69" t="s">
        <v>152</v>
      </c>
      <c r="M69">
        <v>1</v>
      </c>
      <c r="N69" s="13">
        <f>Table1_1[[#This Row],[سعر البيع ]]/Table1_1[[#This Row],[الكمية]]</f>
        <v>10000</v>
      </c>
      <c r="O69">
        <v>10000</v>
      </c>
      <c r="P69" t="s">
        <v>277</v>
      </c>
      <c r="Q69">
        <v>8</v>
      </c>
      <c r="R69">
        <v>8</v>
      </c>
      <c r="S69" t="str">
        <f>IF(Table1_1[[#This Row],[مده التسليم (الفعلى)]]&lt;=Table1_1[[#This Row],[مده التسليم(الهدف)]],"تم التسليم في الموعد","لم يتم التسليم في الموعد")</f>
        <v>تم التسليم في الموعد</v>
      </c>
      <c r="T69" s="11">
        <v>45566</v>
      </c>
      <c r="U69" s="11">
        <v>45574</v>
      </c>
      <c r="V69" s="11">
        <v>45574</v>
      </c>
      <c r="W69" t="s">
        <v>158</v>
      </c>
      <c r="X69" t="s">
        <v>139</v>
      </c>
    </row>
    <row r="70" spans="1:24">
      <c r="A70" t="s">
        <v>155</v>
      </c>
      <c r="B70" t="s">
        <v>278</v>
      </c>
      <c r="C70" t="s">
        <v>156</v>
      </c>
      <c r="D70" s="19" t="s">
        <v>272</v>
      </c>
      <c r="E70" t="s">
        <v>4</v>
      </c>
      <c r="F70" t="s">
        <v>105</v>
      </c>
      <c r="G70" s="12" t="s">
        <v>106</v>
      </c>
      <c r="J70" t="s">
        <v>119</v>
      </c>
      <c r="K70" t="s">
        <v>281</v>
      </c>
      <c r="M70">
        <v>1</v>
      </c>
      <c r="N70" s="13">
        <f>Table1_1[[#This Row],[سعر البيع ]]/Table1_1[[#This Row],[الكمية]]</f>
        <v>8899</v>
      </c>
      <c r="O70">
        <v>8899</v>
      </c>
      <c r="P70" t="s">
        <v>275</v>
      </c>
      <c r="Q70">
        <v>45</v>
      </c>
      <c r="R70">
        <v>0</v>
      </c>
      <c r="T70" s="11">
        <v>45568</v>
      </c>
      <c r="U70" s="11">
        <v>45613</v>
      </c>
      <c r="X70" t="s">
        <v>311</v>
      </c>
    </row>
    <row r="71" spans="1:24">
      <c r="A71" t="s">
        <v>36</v>
      </c>
      <c r="B71" t="s">
        <v>279</v>
      </c>
      <c r="C71" t="s">
        <v>157</v>
      </c>
      <c r="D71" s="19" t="s">
        <v>283</v>
      </c>
      <c r="E71" t="s">
        <v>36</v>
      </c>
      <c r="F71" t="s">
        <v>115</v>
      </c>
      <c r="G71" s="12" t="s">
        <v>116</v>
      </c>
      <c r="J71" t="s">
        <v>146</v>
      </c>
      <c r="K71" t="s">
        <v>181</v>
      </c>
      <c r="M71">
        <v>1</v>
      </c>
      <c r="N71" s="13">
        <f>Table1_1[[#This Row],[سعر البيع ]]/Table1_1[[#This Row],[الكمية]]</f>
        <v>14550</v>
      </c>
      <c r="O71">
        <v>14550</v>
      </c>
      <c r="P71" t="s">
        <v>10</v>
      </c>
      <c r="Q71">
        <v>21</v>
      </c>
      <c r="R71">
        <v>22</v>
      </c>
      <c r="S71" t="str">
        <f>IF(Table1_1[[#This Row],[مده التسليم (الفعلى)]]&lt;=Table1_1[[#This Row],[مده التسليم(الهدف)]],"تم التسليم في الموعد","لم يتم التسليم في الموعد")</f>
        <v>لم يتم التسليم في الموعد</v>
      </c>
      <c r="T71" s="11">
        <v>45573</v>
      </c>
      <c r="U71" s="11">
        <v>45594</v>
      </c>
      <c r="V71" s="11">
        <v>45595</v>
      </c>
      <c r="W71" t="s">
        <v>140</v>
      </c>
      <c r="X71" t="s">
        <v>139</v>
      </c>
    </row>
    <row r="72" spans="1:24">
      <c r="A72" t="s">
        <v>36</v>
      </c>
      <c r="B72" t="s">
        <v>279</v>
      </c>
      <c r="C72" t="s">
        <v>159</v>
      </c>
      <c r="D72" s="19" t="s">
        <v>271</v>
      </c>
      <c r="E72" t="s">
        <v>36</v>
      </c>
      <c r="F72" t="s">
        <v>115</v>
      </c>
      <c r="G72" s="12" t="s">
        <v>116</v>
      </c>
      <c r="J72" t="s">
        <v>146</v>
      </c>
      <c r="K72" t="s">
        <v>181</v>
      </c>
      <c r="M72">
        <v>1</v>
      </c>
      <c r="N72" s="13">
        <f>Table1_1[[#This Row],[سعر البيع ]]/Table1_1[[#This Row],[الكمية]]</f>
        <v>14550</v>
      </c>
      <c r="O72">
        <v>14550</v>
      </c>
      <c r="P72" t="s">
        <v>10</v>
      </c>
      <c r="Q72">
        <v>22</v>
      </c>
      <c r="R72">
        <v>8</v>
      </c>
      <c r="S72" t="str">
        <f>IF(Table1_1[[#This Row],[مده التسليم (الفعلى)]]&lt;=Table1_1[[#This Row],[مده التسليم(الهدف)]],"تم التسليم في الموعد","لم يتم التسليم في الموعد")</f>
        <v>تم التسليم في الموعد</v>
      </c>
      <c r="T72" s="11">
        <v>45572</v>
      </c>
      <c r="U72" s="11">
        <v>45594</v>
      </c>
      <c r="V72" s="11">
        <v>45580</v>
      </c>
      <c r="W72" t="s">
        <v>140</v>
      </c>
      <c r="X72" t="s">
        <v>139</v>
      </c>
    </row>
    <row r="73" spans="1:24">
      <c r="A73" t="s">
        <v>36</v>
      </c>
      <c r="B73" t="s">
        <v>279</v>
      </c>
      <c r="D73" s="19" t="s">
        <v>283</v>
      </c>
      <c r="E73" t="s">
        <v>36</v>
      </c>
      <c r="F73" t="s">
        <v>115</v>
      </c>
      <c r="G73" s="12" t="s">
        <v>116</v>
      </c>
      <c r="J73" t="s">
        <v>146</v>
      </c>
      <c r="K73" t="s">
        <v>309</v>
      </c>
      <c r="M73">
        <v>1</v>
      </c>
      <c r="N73" s="13">
        <f>Table1_1[[#This Row],[سعر البيع ]]/Table1_1[[#This Row],[الكمية]]</f>
        <v>14550</v>
      </c>
      <c r="O73">
        <v>14550</v>
      </c>
      <c r="P73" t="s">
        <v>275</v>
      </c>
      <c r="Q73">
        <v>21</v>
      </c>
      <c r="R73">
        <v>23</v>
      </c>
      <c r="S73" t="str">
        <f>IF(Table1_1[[#This Row],[مده التسليم (الفعلى)]]&lt;=Table1_1[[#This Row],[مده التسليم(الهدف)]],"تم التسليم في الموعد","لم يتم التسليم في الموعد")</f>
        <v>لم يتم التسليم في الموعد</v>
      </c>
      <c r="T73" s="11">
        <v>45575</v>
      </c>
      <c r="U73" s="11">
        <v>45596</v>
      </c>
      <c r="V73" s="11">
        <v>45598</v>
      </c>
      <c r="W73" t="s">
        <v>140</v>
      </c>
      <c r="X73" t="s">
        <v>139</v>
      </c>
    </row>
    <row r="74" spans="1:24">
      <c r="A74" t="s">
        <v>161</v>
      </c>
      <c r="B74" t="s">
        <v>278</v>
      </c>
      <c r="C74" t="s">
        <v>73</v>
      </c>
      <c r="D74" s="19" t="s">
        <v>272</v>
      </c>
      <c r="E74" t="s">
        <v>4</v>
      </c>
      <c r="F74" t="s">
        <v>105</v>
      </c>
      <c r="G74" s="12" t="s">
        <v>117</v>
      </c>
      <c r="H74" s="12" t="s">
        <v>162</v>
      </c>
      <c r="I74" t="s">
        <v>163</v>
      </c>
      <c r="J74" t="s">
        <v>164</v>
      </c>
      <c r="K74" t="s">
        <v>281</v>
      </c>
      <c r="M74">
        <v>1</v>
      </c>
      <c r="N74" s="13">
        <f>Table1_1[[#This Row],[سعر البيع ]]/Table1_1[[#This Row],[الكمية]]</f>
        <v>12899</v>
      </c>
      <c r="O74">
        <v>12899</v>
      </c>
      <c r="P74" t="s">
        <v>275</v>
      </c>
      <c r="Q74">
        <v>65</v>
      </c>
      <c r="R74">
        <v>20</v>
      </c>
      <c r="S74" t="str">
        <f>IF(Table1_1[[#This Row],[مده التسليم (الفعلى)]]&lt;=Table1_1[[#This Row],[مده التسليم(الهدف)]],"تم التسليم في الموعد","لم يتم التسليم في الموعد")</f>
        <v>تم التسليم في الموعد</v>
      </c>
      <c r="T74" s="11">
        <v>45578</v>
      </c>
      <c r="U74" s="11">
        <v>45643</v>
      </c>
      <c r="V74" s="11">
        <v>45598</v>
      </c>
      <c r="W74" t="s">
        <v>140</v>
      </c>
      <c r="X74" t="s">
        <v>139</v>
      </c>
    </row>
    <row r="75" spans="1:24">
      <c r="A75" t="s">
        <v>165</v>
      </c>
      <c r="B75" t="s">
        <v>278</v>
      </c>
      <c r="C75" t="s">
        <v>33</v>
      </c>
      <c r="D75" s="19" t="s">
        <v>272</v>
      </c>
      <c r="E75" t="s">
        <v>4</v>
      </c>
      <c r="F75" t="s">
        <v>105</v>
      </c>
      <c r="G75" s="12" t="s">
        <v>117</v>
      </c>
      <c r="H75" s="12" t="s">
        <v>110</v>
      </c>
      <c r="I75">
        <v>80</v>
      </c>
      <c r="J75" t="s">
        <v>118</v>
      </c>
      <c r="K75" t="s">
        <v>281</v>
      </c>
      <c r="M75">
        <v>1</v>
      </c>
      <c r="N75" s="13">
        <f>Table1_1[[#This Row],[سعر البيع ]]/Table1_1[[#This Row],[الكمية]]</f>
        <v>10499</v>
      </c>
      <c r="O75">
        <v>10499</v>
      </c>
      <c r="P75" t="s">
        <v>10</v>
      </c>
      <c r="Q75">
        <v>64</v>
      </c>
      <c r="R75">
        <v>5</v>
      </c>
      <c r="S75" t="str">
        <f>IF(Table1_1[[#This Row],[مده التسليم (الفعلى)]]&lt;=Table1_1[[#This Row],[مده التسليم(الهدف)]],"تم التسليم في الموعد","لم يتم التسليم في الموعد")</f>
        <v>تم التسليم في الموعد</v>
      </c>
      <c r="T75" s="11">
        <v>45581</v>
      </c>
      <c r="U75" s="11">
        <v>45645</v>
      </c>
      <c r="V75" s="11">
        <v>45586</v>
      </c>
      <c r="W75" t="s">
        <v>140</v>
      </c>
      <c r="X75" t="s">
        <v>139</v>
      </c>
    </row>
    <row r="76" spans="1:24">
      <c r="A76" t="s">
        <v>166</v>
      </c>
      <c r="B76" t="s">
        <v>278</v>
      </c>
      <c r="C76" t="s">
        <v>167</v>
      </c>
      <c r="D76" s="19" t="s">
        <v>312</v>
      </c>
      <c r="E76" t="s">
        <v>4</v>
      </c>
      <c r="F76" t="s">
        <v>105</v>
      </c>
      <c r="G76" s="12" t="s">
        <v>117</v>
      </c>
      <c r="H76" s="12" t="s">
        <v>107</v>
      </c>
      <c r="I76" t="s">
        <v>168</v>
      </c>
      <c r="J76" t="s">
        <v>164</v>
      </c>
      <c r="K76" t="s">
        <v>281</v>
      </c>
      <c r="M76">
        <v>1</v>
      </c>
      <c r="N76" s="13">
        <f>Table1_1[[#This Row],[سعر البيع ]]/Table1_1[[#This Row],[الكمية]]</f>
        <v>12899</v>
      </c>
      <c r="O76">
        <v>12899</v>
      </c>
      <c r="P76" t="s">
        <v>10</v>
      </c>
      <c r="Q76">
        <v>66</v>
      </c>
      <c r="R76">
        <v>47</v>
      </c>
      <c r="S76" t="str">
        <f>IF(Table1_1[[#This Row],[مده التسليم (الفعلى)]]&lt;=Table1_1[[#This Row],[مده التسليم(الهدف)]],"تم التسليم في الموعد","لم يتم التسليم في الموعد")</f>
        <v>تم التسليم في الموعد</v>
      </c>
      <c r="T76" s="11">
        <v>45582</v>
      </c>
      <c r="U76" s="11">
        <v>45648</v>
      </c>
      <c r="V76" s="11">
        <v>45629</v>
      </c>
      <c r="W76" t="s">
        <v>20</v>
      </c>
      <c r="X76" t="s">
        <v>139</v>
      </c>
    </row>
    <row r="77" spans="1:24">
      <c r="A77" t="s">
        <v>169</v>
      </c>
      <c r="B77" t="s">
        <v>278</v>
      </c>
      <c r="C77" t="s">
        <v>170</v>
      </c>
      <c r="D77" s="19" t="s">
        <v>272</v>
      </c>
      <c r="E77" t="s">
        <v>182</v>
      </c>
      <c r="F77" t="s">
        <v>105</v>
      </c>
      <c r="G77" s="12" t="s">
        <v>108</v>
      </c>
      <c r="H77" s="12" t="s">
        <v>171</v>
      </c>
      <c r="I77">
        <v>140</v>
      </c>
      <c r="J77" t="s">
        <v>154</v>
      </c>
      <c r="K77" t="s">
        <v>172</v>
      </c>
      <c r="M77">
        <v>1</v>
      </c>
      <c r="N77" s="13">
        <f>Table1_1[[#This Row],[سعر البيع ]]/Table1_1[[#This Row],[الكمية]]</f>
        <v>5135</v>
      </c>
      <c r="O77">
        <v>5135</v>
      </c>
      <c r="P77" t="s">
        <v>10</v>
      </c>
      <c r="Q77">
        <v>28</v>
      </c>
      <c r="R77">
        <v>25</v>
      </c>
      <c r="S77" t="str">
        <f>IF(Table1_1[[#This Row],[مده التسليم (الفعلى)]]&lt;=Table1_1[[#This Row],[مده التسليم(الهدف)]],"تم التسليم في الموعد","لم يتم التسليم في الموعد")</f>
        <v>تم التسليم في الموعد</v>
      </c>
      <c r="T77" s="11">
        <v>45585</v>
      </c>
      <c r="U77" s="11">
        <v>45613</v>
      </c>
      <c r="V77" s="11">
        <v>45610</v>
      </c>
      <c r="W77" t="s">
        <v>140</v>
      </c>
      <c r="X77" t="s">
        <v>139</v>
      </c>
    </row>
    <row r="78" spans="1:24">
      <c r="A78" t="s">
        <v>36</v>
      </c>
      <c r="B78" t="s">
        <v>279</v>
      </c>
      <c r="C78" t="s">
        <v>145</v>
      </c>
      <c r="D78" s="19" t="s">
        <v>271</v>
      </c>
      <c r="E78" t="s">
        <v>36</v>
      </c>
      <c r="F78" t="s">
        <v>105</v>
      </c>
      <c r="G78" s="12" t="s">
        <v>117</v>
      </c>
      <c r="H78" s="12" t="s">
        <v>173</v>
      </c>
      <c r="I78">
        <v>100</v>
      </c>
      <c r="J78" t="s">
        <v>174</v>
      </c>
      <c r="K78" t="s">
        <v>281</v>
      </c>
      <c r="M78">
        <v>1</v>
      </c>
      <c r="N78" s="13">
        <f>Table1_1[[#This Row],[سعر البيع ]]/Table1_1[[#This Row],[الكمية]]</f>
        <v>12777.5</v>
      </c>
      <c r="O78">
        <v>12777.5</v>
      </c>
      <c r="P78" t="s">
        <v>275</v>
      </c>
      <c r="Q78">
        <v>21</v>
      </c>
      <c r="R78">
        <v>27</v>
      </c>
      <c r="S78" t="str">
        <f>IF(Table1_1[[#This Row],[مده التسليم (الفعلى)]]&lt;=Table1_1[[#This Row],[مده التسليم(الهدف)]],"تم التسليم في الموعد","لم يتم التسليم في الموعد")</f>
        <v>لم يتم التسليم في الموعد</v>
      </c>
      <c r="T78" s="11">
        <v>45587</v>
      </c>
      <c r="U78" s="11">
        <v>45608</v>
      </c>
      <c r="V78" s="11">
        <v>45614</v>
      </c>
      <c r="W78" t="s">
        <v>140</v>
      </c>
      <c r="X78" t="s">
        <v>139</v>
      </c>
    </row>
    <row r="79" spans="1:24">
      <c r="A79" t="s">
        <v>59</v>
      </c>
      <c r="B79" t="s">
        <v>279</v>
      </c>
      <c r="C79" t="s">
        <v>175</v>
      </c>
      <c r="D79" s="19" t="s">
        <v>272</v>
      </c>
      <c r="E79" t="s">
        <v>307</v>
      </c>
      <c r="F79" t="s">
        <v>105</v>
      </c>
      <c r="G79" s="12" t="s">
        <v>117</v>
      </c>
      <c r="H79" s="12" t="s">
        <v>173</v>
      </c>
      <c r="I79">
        <v>100</v>
      </c>
      <c r="J79" t="s">
        <v>174</v>
      </c>
      <c r="K79" t="s">
        <v>281</v>
      </c>
      <c r="M79">
        <v>1</v>
      </c>
      <c r="N79" s="13">
        <f>Table1_1[[#This Row],[سعر البيع ]]/Table1_1[[#This Row],[الكمية]]</f>
        <v>8544.91</v>
      </c>
      <c r="O79">
        <v>8544.91</v>
      </c>
      <c r="P79" t="s">
        <v>61</v>
      </c>
      <c r="Q79">
        <v>0</v>
      </c>
      <c r="R79">
        <v>0</v>
      </c>
      <c r="T79" s="11">
        <v>45587</v>
      </c>
      <c r="X79" t="s">
        <v>311</v>
      </c>
    </row>
    <row r="80" spans="1:24">
      <c r="A80" t="s">
        <v>176</v>
      </c>
      <c r="B80" t="s">
        <v>278</v>
      </c>
      <c r="C80" t="s">
        <v>177</v>
      </c>
      <c r="D80" s="19" t="s">
        <v>271</v>
      </c>
      <c r="E80" t="s">
        <v>4</v>
      </c>
      <c r="F80" t="s">
        <v>105</v>
      </c>
      <c r="G80" s="12" t="s">
        <v>108</v>
      </c>
      <c r="H80" s="12" t="s">
        <v>127</v>
      </c>
      <c r="I80">
        <v>120</v>
      </c>
      <c r="J80" t="s">
        <v>118</v>
      </c>
      <c r="K80" t="s">
        <v>281</v>
      </c>
      <c r="M80">
        <v>1</v>
      </c>
      <c r="N80" s="13">
        <f>Table1_1[[#This Row],[سعر البيع ]]/Table1_1[[#This Row],[الكمية]]</f>
        <v>8943</v>
      </c>
      <c r="O80">
        <v>8943</v>
      </c>
      <c r="P80" t="s">
        <v>275</v>
      </c>
      <c r="Q80">
        <v>24</v>
      </c>
      <c r="R80">
        <v>28</v>
      </c>
      <c r="S80" t="str">
        <f>IF(Table1_1[[#This Row],[مده التسليم (الفعلى)]]&lt;=Table1_1[[#This Row],[مده التسليم(الهدف)]],"تم التسليم في الموعد","لم يتم التسليم في الموعد")</f>
        <v>لم يتم التسليم في الموعد</v>
      </c>
      <c r="T80" s="11">
        <v>45586</v>
      </c>
      <c r="U80" s="11">
        <v>45610</v>
      </c>
      <c r="V80" s="11">
        <v>45614</v>
      </c>
      <c r="W80" t="s">
        <v>140</v>
      </c>
      <c r="X80" t="s">
        <v>139</v>
      </c>
    </row>
    <row r="81" spans="1:24">
      <c r="A81" t="s">
        <v>36</v>
      </c>
      <c r="B81" t="s">
        <v>279</v>
      </c>
      <c r="D81" s="19" t="s">
        <v>283</v>
      </c>
      <c r="E81" t="s">
        <v>36</v>
      </c>
      <c r="F81" t="s">
        <v>115</v>
      </c>
      <c r="G81" s="12" t="s">
        <v>116</v>
      </c>
      <c r="J81" t="s">
        <v>119</v>
      </c>
      <c r="K81" t="s">
        <v>281</v>
      </c>
      <c r="M81">
        <v>1</v>
      </c>
      <c r="N81" s="13">
        <f>Table1_1[[#This Row],[سعر البيع ]]/Table1_1[[#This Row],[الكمية]]</f>
        <v>15516</v>
      </c>
      <c r="O81">
        <v>15516</v>
      </c>
      <c r="P81" t="s">
        <v>10</v>
      </c>
      <c r="Q81">
        <v>21</v>
      </c>
      <c r="R81">
        <v>6</v>
      </c>
      <c r="S81" t="str">
        <f>IF(Table1_1[[#This Row],[مده التسليم (الفعلى)]]&lt;=Table1_1[[#This Row],[مده التسليم(الهدف)]],"تم التسليم في الموعد","لم يتم التسليم في الموعد")</f>
        <v>تم التسليم في الموعد</v>
      </c>
      <c r="T81" s="11">
        <v>45589</v>
      </c>
      <c r="U81" s="11">
        <v>45610</v>
      </c>
      <c r="V81" s="11">
        <v>45595</v>
      </c>
      <c r="W81" t="s">
        <v>140</v>
      </c>
      <c r="X81" t="s">
        <v>139</v>
      </c>
    </row>
    <row r="82" spans="1:24">
      <c r="A82" t="s">
        <v>36</v>
      </c>
      <c r="B82" t="s">
        <v>279</v>
      </c>
      <c r="D82" s="19" t="s">
        <v>283</v>
      </c>
      <c r="E82" t="s">
        <v>36</v>
      </c>
      <c r="F82" t="s">
        <v>105</v>
      </c>
      <c r="G82" s="12" t="s">
        <v>117</v>
      </c>
      <c r="H82" s="12" t="s">
        <v>109</v>
      </c>
      <c r="I82">
        <v>100</v>
      </c>
      <c r="J82" t="s">
        <v>119</v>
      </c>
      <c r="K82" t="s">
        <v>281</v>
      </c>
      <c r="M82">
        <v>1</v>
      </c>
      <c r="N82" s="13">
        <f>Table1_1[[#This Row],[سعر البيع ]]/Table1_1[[#This Row],[الكمية]]</f>
        <v>10045</v>
      </c>
      <c r="O82">
        <v>10045</v>
      </c>
      <c r="P82" t="s">
        <v>275</v>
      </c>
      <c r="Q82">
        <v>21</v>
      </c>
      <c r="R82">
        <v>0</v>
      </c>
      <c r="T82" s="11">
        <v>45591</v>
      </c>
      <c r="U82" s="11">
        <v>45612</v>
      </c>
      <c r="X82" t="s">
        <v>311</v>
      </c>
    </row>
    <row r="83" spans="1:24">
      <c r="A83" t="s">
        <v>91</v>
      </c>
      <c r="B83" t="s">
        <v>278</v>
      </c>
      <c r="C83" t="s">
        <v>178</v>
      </c>
      <c r="D83" s="19" t="s">
        <v>271</v>
      </c>
      <c r="E83" t="s">
        <v>4</v>
      </c>
      <c r="F83" t="s">
        <v>105</v>
      </c>
      <c r="G83" s="12" t="s">
        <v>117</v>
      </c>
      <c r="H83" s="12" t="s">
        <v>109</v>
      </c>
      <c r="I83">
        <v>90</v>
      </c>
      <c r="J83" t="s">
        <v>119</v>
      </c>
      <c r="K83" t="s">
        <v>281</v>
      </c>
      <c r="M83">
        <v>1</v>
      </c>
      <c r="N83" s="13">
        <f>Table1_1[[#This Row],[سعر البيع ]]/Table1_1[[#This Row],[الكمية]]</f>
        <v>11649</v>
      </c>
      <c r="O83">
        <v>11649</v>
      </c>
      <c r="P83" t="s">
        <v>275</v>
      </c>
      <c r="Q83">
        <v>15</v>
      </c>
      <c r="R83">
        <v>23</v>
      </c>
      <c r="S83" t="str">
        <f>IF(Table1_1[[#This Row],[مده التسليم (الفعلى)]]&lt;=Table1_1[[#This Row],[مده التسليم(الهدف)]],"تم التسليم في الموعد","لم يتم التسليم في الموعد")</f>
        <v>لم يتم التسليم في الموعد</v>
      </c>
      <c r="T83" s="11">
        <v>45591</v>
      </c>
      <c r="U83" s="11">
        <v>45606</v>
      </c>
      <c r="V83" s="11">
        <v>45614</v>
      </c>
      <c r="W83" t="s">
        <v>140</v>
      </c>
      <c r="X83" t="s">
        <v>139</v>
      </c>
    </row>
    <row r="84" spans="1:24">
      <c r="A84" t="s">
        <v>179</v>
      </c>
      <c r="B84" t="s">
        <v>278</v>
      </c>
      <c r="C84" t="s">
        <v>77</v>
      </c>
      <c r="D84" s="19" t="s">
        <v>272</v>
      </c>
      <c r="E84" t="s">
        <v>4</v>
      </c>
      <c r="F84" t="s">
        <v>105</v>
      </c>
      <c r="G84" s="12" t="s">
        <v>108</v>
      </c>
      <c r="H84" s="12" t="s">
        <v>111</v>
      </c>
      <c r="I84">
        <v>100</v>
      </c>
      <c r="J84" t="s">
        <v>118</v>
      </c>
      <c r="K84" t="s">
        <v>281</v>
      </c>
      <c r="M84">
        <v>1</v>
      </c>
      <c r="N84" s="13">
        <f>Table1_1[[#This Row],[سعر البيع ]]/Table1_1[[#This Row],[الكمية]]</f>
        <v>5100</v>
      </c>
      <c r="O84">
        <v>5100</v>
      </c>
      <c r="P84" t="s">
        <v>275</v>
      </c>
      <c r="Q84">
        <v>14</v>
      </c>
      <c r="R84">
        <v>24</v>
      </c>
      <c r="S84" t="str">
        <f>IF(Table1_1[[#This Row],[مده التسليم (الفعلى)]]&lt;=Table1_1[[#This Row],[مده التسليم(الهدف)]],"تم التسليم في الموعد","لم يتم التسليم في الموعد")</f>
        <v>لم يتم التسليم في الموعد</v>
      </c>
      <c r="T84" s="11">
        <v>45593</v>
      </c>
      <c r="U84" s="11">
        <v>45607</v>
      </c>
      <c r="V84" s="11">
        <v>45617</v>
      </c>
      <c r="W84" t="s">
        <v>140</v>
      </c>
      <c r="X84" t="s">
        <v>139</v>
      </c>
    </row>
    <row r="85" spans="1:24">
      <c r="A85" t="s">
        <v>179</v>
      </c>
      <c r="B85" t="s">
        <v>278</v>
      </c>
      <c r="C85" t="s">
        <v>77</v>
      </c>
      <c r="D85" s="19" t="s">
        <v>272</v>
      </c>
      <c r="E85" t="s">
        <v>4</v>
      </c>
      <c r="F85" t="s">
        <v>105</v>
      </c>
      <c r="G85" s="12" t="s">
        <v>108</v>
      </c>
      <c r="H85" s="12" t="s">
        <v>111</v>
      </c>
      <c r="I85">
        <v>120</v>
      </c>
      <c r="J85" t="s">
        <v>118</v>
      </c>
      <c r="K85" t="s">
        <v>281</v>
      </c>
      <c r="M85">
        <v>1</v>
      </c>
      <c r="N85" s="13">
        <f>Table1_1[[#This Row],[سعر البيع ]]/Table1_1[[#This Row],[الكمية]]</f>
        <v>5300</v>
      </c>
      <c r="O85">
        <v>5300</v>
      </c>
      <c r="P85" t="s">
        <v>275</v>
      </c>
      <c r="Q85">
        <v>14</v>
      </c>
      <c r="R85">
        <v>24</v>
      </c>
      <c r="S85" t="str">
        <f>IF(Table1_1[[#This Row],[مده التسليم (الفعلى)]]&lt;=Table1_1[[#This Row],[مده التسليم(الهدف)]],"تم التسليم في الموعد","لم يتم التسليم في الموعد")</f>
        <v>لم يتم التسليم في الموعد</v>
      </c>
      <c r="T85" s="11">
        <v>45593</v>
      </c>
      <c r="U85" s="11">
        <v>45607</v>
      </c>
      <c r="V85" s="11">
        <v>45617</v>
      </c>
      <c r="W85" t="s">
        <v>140</v>
      </c>
      <c r="X85" t="s">
        <v>139</v>
      </c>
    </row>
    <row r="86" spans="1:24">
      <c r="A86" t="s">
        <v>264</v>
      </c>
      <c r="B86" t="s">
        <v>278</v>
      </c>
      <c r="C86" t="s">
        <v>183</v>
      </c>
      <c r="D86" s="19" t="s">
        <v>272</v>
      </c>
      <c r="E86" t="s">
        <v>4</v>
      </c>
      <c r="F86" t="s">
        <v>105</v>
      </c>
      <c r="G86" s="12" t="s">
        <v>117</v>
      </c>
      <c r="H86" s="12" t="s">
        <v>110</v>
      </c>
      <c r="I86">
        <v>80</v>
      </c>
      <c r="J86" t="s">
        <v>118</v>
      </c>
      <c r="K86" t="s">
        <v>281</v>
      </c>
      <c r="M86">
        <v>1</v>
      </c>
      <c r="N86" s="13">
        <f>Table1_1[[#This Row],[سعر البيع ]]/Table1_1[[#This Row],[الكمية]]</f>
        <v>12099</v>
      </c>
      <c r="O86">
        <v>12099</v>
      </c>
      <c r="P86" t="s">
        <v>10</v>
      </c>
      <c r="Q86">
        <v>15</v>
      </c>
      <c r="R86">
        <v>16</v>
      </c>
      <c r="S86" t="str">
        <f>IF(Table1_1[[#This Row],[مده التسليم (الفعلى)]]&lt;=Table1_1[[#This Row],[مده التسليم(الهدف)]],"تم التسليم في الموعد","لم يتم التسليم في الموعد")</f>
        <v>لم يتم التسليم في الموعد</v>
      </c>
      <c r="T86" s="11">
        <v>45607</v>
      </c>
      <c r="U86" s="11">
        <v>45622</v>
      </c>
      <c r="V86" s="11">
        <v>45623</v>
      </c>
      <c r="W86" t="s">
        <v>140</v>
      </c>
      <c r="X86" t="s">
        <v>139</v>
      </c>
    </row>
    <row r="87" spans="1:24">
      <c r="A87" t="s">
        <v>36</v>
      </c>
      <c r="B87" t="s">
        <v>279</v>
      </c>
      <c r="C87" t="s">
        <v>157</v>
      </c>
      <c r="D87" s="19" t="s">
        <v>283</v>
      </c>
      <c r="E87" t="s">
        <v>36</v>
      </c>
      <c r="F87" t="s">
        <v>115</v>
      </c>
      <c r="G87" s="12" t="s">
        <v>116</v>
      </c>
      <c r="H87" s="12" t="s">
        <v>180</v>
      </c>
      <c r="J87" t="s">
        <v>146</v>
      </c>
      <c r="K87" t="s">
        <v>181</v>
      </c>
      <c r="M87">
        <v>1</v>
      </c>
      <c r="N87" s="13">
        <f>Table1_1[[#This Row],[سعر البيع ]]/Table1_1[[#This Row],[الكمية]]</f>
        <v>15872</v>
      </c>
      <c r="O87">
        <v>15872</v>
      </c>
      <c r="P87" t="s">
        <v>10</v>
      </c>
      <c r="Q87">
        <v>25</v>
      </c>
      <c r="R87">
        <v>6</v>
      </c>
      <c r="S87" t="str">
        <f>IF(Table1_1[[#This Row],[مده التسليم (الفعلى)]]&lt;=Table1_1[[#This Row],[مده التسليم(الهدف)]],"تم التسليم في الموعد","لم يتم التسليم في الموعد")</f>
        <v>تم التسليم في الموعد</v>
      </c>
      <c r="T87" s="11">
        <v>45604</v>
      </c>
      <c r="U87" s="11">
        <v>45629</v>
      </c>
      <c r="V87" s="11">
        <v>45610</v>
      </c>
      <c r="W87" t="s">
        <v>140</v>
      </c>
      <c r="X87" t="s">
        <v>139</v>
      </c>
    </row>
    <row r="88" spans="1:24">
      <c r="A88" t="s">
        <v>182</v>
      </c>
      <c r="B88" t="s">
        <v>278</v>
      </c>
      <c r="C88" t="s">
        <v>23</v>
      </c>
      <c r="D88" s="19" t="s">
        <v>272</v>
      </c>
      <c r="E88" t="s">
        <v>182</v>
      </c>
      <c r="F88" t="s">
        <v>105</v>
      </c>
      <c r="G88" s="12" t="s">
        <v>108</v>
      </c>
      <c r="H88" s="12" t="s">
        <v>127</v>
      </c>
      <c r="I88">
        <v>120</v>
      </c>
      <c r="J88" t="s">
        <v>118</v>
      </c>
      <c r="K88" t="s">
        <v>281</v>
      </c>
      <c r="M88">
        <v>1</v>
      </c>
      <c r="N88" s="13">
        <f>Table1_1[[#This Row],[سعر البيع ]]/Table1_1[[#This Row],[الكمية]]</f>
        <v>4520</v>
      </c>
      <c r="O88">
        <v>4520</v>
      </c>
      <c r="P88" t="s">
        <v>61</v>
      </c>
      <c r="Q88">
        <v>12</v>
      </c>
      <c r="R88">
        <v>11</v>
      </c>
      <c r="S88" t="str">
        <f>IF(Table1_1[[#This Row],[مده التسليم (الفعلى)]]&lt;=Table1_1[[#This Row],[مده التسليم(الهدف)]],"تم التسليم في الموعد","لم يتم التسليم في الموعد")</f>
        <v>تم التسليم في الموعد</v>
      </c>
      <c r="T88" s="11">
        <v>45606</v>
      </c>
      <c r="U88" s="11">
        <v>45618</v>
      </c>
      <c r="V88" s="11">
        <v>45617</v>
      </c>
      <c r="W88" t="s">
        <v>140</v>
      </c>
      <c r="X88" t="s">
        <v>139</v>
      </c>
    </row>
    <row r="89" spans="1:24">
      <c r="A89" t="s">
        <v>59</v>
      </c>
      <c r="B89" t="s">
        <v>279</v>
      </c>
      <c r="C89" t="s">
        <v>141</v>
      </c>
      <c r="D89" s="19" t="s">
        <v>315</v>
      </c>
      <c r="E89" t="s">
        <v>307</v>
      </c>
      <c r="F89" t="s">
        <v>105</v>
      </c>
      <c r="G89" s="12" t="s">
        <v>117</v>
      </c>
      <c r="H89" s="12" t="s">
        <v>109</v>
      </c>
      <c r="I89">
        <v>90</v>
      </c>
      <c r="J89" t="s">
        <v>119</v>
      </c>
      <c r="K89" t="s">
        <v>281</v>
      </c>
      <c r="M89">
        <v>1</v>
      </c>
      <c r="N89" s="13">
        <f>Table1_1[[#This Row],[سعر البيع ]]/Table1_1[[#This Row],[الكمية]]</f>
        <v>5766</v>
      </c>
      <c r="O89">
        <v>5766</v>
      </c>
      <c r="P89" t="s">
        <v>61</v>
      </c>
      <c r="Q89">
        <v>14</v>
      </c>
      <c r="R89">
        <v>13</v>
      </c>
      <c r="S89" t="str">
        <f>IF(Table1_1[[#This Row],[مده التسليم (الفعلى)]]&lt;=Table1_1[[#This Row],[مده التسليم(الهدف)]],"تم التسليم في الموعد","لم يتم التسليم في الموعد")</f>
        <v>تم التسليم في الموعد</v>
      </c>
      <c r="T89" s="11">
        <v>45608</v>
      </c>
      <c r="U89" s="11">
        <v>45622</v>
      </c>
      <c r="V89" s="11">
        <v>45621</v>
      </c>
      <c r="W89" t="s">
        <v>140</v>
      </c>
      <c r="X89" t="s">
        <v>139</v>
      </c>
    </row>
    <row r="90" spans="1:24">
      <c r="A90" t="s">
        <v>184</v>
      </c>
      <c r="B90" t="s">
        <v>278</v>
      </c>
      <c r="C90" t="s">
        <v>77</v>
      </c>
      <c r="D90" s="19" t="s">
        <v>272</v>
      </c>
      <c r="E90" t="s">
        <v>4</v>
      </c>
      <c r="F90" t="s">
        <v>105</v>
      </c>
      <c r="G90" s="12" t="s">
        <v>108</v>
      </c>
      <c r="H90" s="12" t="s">
        <v>127</v>
      </c>
      <c r="I90">
        <v>160</v>
      </c>
      <c r="J90" t="s">
        <v>124</v>
      </c>
      <c r="K90" t="s">
        <v>281</v>
      </c>
      <c r="M90">
        <v>1</v>
      </c>
      <c r="N90" s="13">
        <f>Table1_1[[#This Row],[سعر البيع ]]/Table1_1[[#This Row],[الكمية]]</f>
        <v>11395</v>
      </c>
      <c r="O90">
        <v>11395</v>
      </c>
      <c r="P90" t="s">
        <v>10</v>
      </c>
      <c r="Q90">
        <v>12</v>
      </c>
      <c r="R90">
        <v>15</v>
      </c>
      <c r="S90" t="str">
        <f>IF(Table1_1[[#This Row],[مده التسليم (الفعلى)]]&lt;=Table1_1[[#This Row],[مده التسليم(الهدف)]],"تم التسليم في الموعد","لم يتم التسليم في الموعد")</f>
        <v>لم يتم التسليم في الموعد</v>
      </c>
      <c r="T90" s="11">
        <v>45608</v>
      </c>
      <c r="U90" s="11">
        <v>45620</v>
      </c>
      <c r="V90" s="11">
        <v>45623</v>
      </c>
      <c r="W90" t="s">
        <v>140</v>
      </c>
      <c r="X90" t="s">
        <v>139</v>
      </c>
    </row>
    <row r="91" spans="1:24">
      <c r="A91" t="s">
        <v>185</v>
      </c>
      <c r="B91" t="s">
        <v>278</v>
      </c>
      <c r="C91" t="s">
        <v>23</v>
      </c>
      <c r="D91" s="19" t="s">
        <v>272</v>
      </c>
      <c r="E91" t="s">
        <v>4</v>
      </c>
      <c r="F91" t="s">
        <v>105</v>
      </c>
      <c r="G91" s="12" t="s">
        <v>117</v>
      </c>
      <c r="H91" s="12" t="s">
        <v>186</v>
      </c>
      <c r="I91">
        <v>80</v>
      </c>
      <c r="J91" t="s">
        <v>118</v>
      </c>
      <c r="K91" t="s">
        <v>281</v>
      </c>
      <c r="M91">
        <v>1</v>
      </c>
      <c r="N91" s="13">
        <f>Table1_1[[#This Row],[سعر البيع ]]/Table1_1[[#This Row],[الكمية]]</f>
        <v>12919</v>
      </c>
      <c r="O91">
        <v>12919</v>
      </c>
      <c r="P91" t="s">
        <v>10</v>
      </c>
      <c r="Q91">
        <v>16</v>
      </c>
      <c r="R91">
        <v>13</v>
      </c>
      <c r="S91" t="str">
        <f>IF(Table1_1[[#This Row],[مده التسليم (الفعلى)]]&lt;=Table1_1[[#This Row],[مده التسليم(الهدف)]],"تم التسليم في الموعد","لم يتم التسليم في الموعد")</f>
        <v>تم التسليم في الموعد</v>
      </c>
      <c r="T91" s="11">
        <v>45610</v>
      </c>
      <c r="U91" s="11">
        <v>45626</v>
      </c>
      <c r="V91" s="11">
        <v>45623</v>
      </c>
      <c r="W91" t="s">
        <v>140</v>
      </c>
      <c r="X91" t="s">
        <v>139</v>
      </c>
    </row>
    <row r="92" spans="1:24">
      <c r="A92" t="s">
        <v>59</v>
      </c>
      <c r="B92" t="s">
        <v>279</v>
      </c>
      <c r="C92" t="s">
        <v>141</v>
      </c>
      <c r="D92" s="19" t="s">
        <v>315</v>
      </c>
      <c r="E92" t="s">
        <v>307</v>
      </c>
      <c r="F92" t="s">
        <v>105</v>
      </c>
      <c r="G92" s="12" t="s">
        <v>117</v>
      </c>
      <c r="H92" s="12" t="s">
        <v>107</v>
      </c>
      <c r="I92">
        <v>120</v>
      </c>
      <c r="J92" t="s">
        <v>123</v>
      </c>
      <c r="K92" t="s">
        <v>281</v>
      </c>
      <c r="M92">
        <v>1</v>
      </c>
      <c r="N92" s="13">
        <f>Table1_1[[#This Row],[سعر البيع ]]/Table1_1[[#This Row],[الكمية]]</f>
        <v>6376</v>
      </c>
      <c r="O92">
        <v>6376</v>
      </c>
      <c r="P92" t="s">
        <v>61</v>
      </c>
      <c r="Q92">
        <v>13</v>
      </c>
      <c r="R92">
        <v>11</v>
      </c>
      <c r="S92" t="str">
        <f>IF(Table1_1[[#This Row],[مده التسليم (الفعلى)]]&lt;=Table1_1[[#This Row],[مده التسليم(الهدف)]],"تم التسليم في الموعد","لم يتم التسليم في الموعد")</f>
        <v>تم التسليم في الموعد</v>
      </c>
      <c r="T92" s="11">
        <v>45610</v>
      </c>
      <c r="U92" s="11">
        <v>45623</v>
      </c>
      <c r="V92" s="11">
        <v>45621</v>
      </c>
      <c r="W92" t="s">
        <v>140</v>
      </c>
      <c r="X92" t="s">
        <v>139</v>
      </c>
    </row>
    <row r="93" spans="1:24">
      <c r="A93" t="s">
        <v>59</v>
      </c>
      <c r="B93" t="s">
        <v>279</v>
      </c>
      <c r="C93" t="s">
        <v>187</v>
      </c>
      <c r="D93" s="19" t="s">
        <v>315</v>
      </c>
      <c r="E93" t="s">
        <v>307</v>
      </c>
      <c r="F93" t="s">
        <v>105</v>
      </c>
      <c r="G93" s="12" t="s">
        <v>188</v>
      </c>
      <c r="H93" s="12" t="s">
        <v>107</v>
      </c>
      <c r="I93">
        <v>90</v>
      </c>
      <c r="J93" t="s">
        <v>119</v>
      </c>
      <c r="K93" t="s">
        <v>281</v>
      </c>
      <c r="M93">
        <v>1</v>
      </c>
      <c r="N93" s="13">
        <f>Table1_1[[#This Row],[سعر البيع ]]/Table1_1[[#This Row],[الكمية]]</f>
        <v>5294</v>
      </c>
      <c r="O93">
        <v>5294</v>
      </c>
      <c r="P93" t="s">
        <v>61</v>
      </c>
      <c r="Q93">
        <v>13</v>
      </c>
      <c r="R93">
        <v>11</v>
      </c>
      <c r="S93" t="str">
        <f>IF(Table1_1[[#This Row],[مده التسليم (الفعلى)]]&lt;=Table1_1[[#This Row],[مده التسليم(الهدف)]],"تم التسليم في الموعد","لم يتم التسليم في الموعد")</f>
        <v>تم التسليم في الموعد</v>
      </c>
      <c r="T93" s="11">
        <v>45610</v>
      </c>
      <c r="U93" s="11">
        <v>45623</v>
      </c>
      <c r="V93" s="11">
        <v>45621</v>
      </c>
      <c r="W93" t="s">
        <v>140</v>
      </c>
      <c r="X93" t="s">
        <v>139</v>
      </c>
    </row>
    <row r="94" spans="1:24">
      <c r="A94" t="s">
        <v>265</v>
      </c>
      <c r="B94" t="s">
        <v>278</v>
      </c>
      <c r="C94" t="s">
        <v>25</v>
      </c>
      <c r="D94" s="19" t="s">
        <v>271</v>
      </c>
      <c r="E94" t="s">
        <v>308</v>
      </c>
      <c r="F94" t="s">
        <v>105</v>
      </c>
      <c r="G94" s="12" t="s">
        <v>188</v>
      </c>
      <c r="H94" s="12" t="s">
        <v>189</v>
      </c>
      <c r="I94">
        <v>80</v>
      </c>
      <c r="J94" t="s">
        <v>118</v>
      </c>
      <c r="K94" t="s">
        <v>281</v>
      </c>
      <c r="M94">
        <v>1</v>
      </c>
      <c r="N94" s="13">
        <f>Table1_1[[#This Row],[سعر البيع ]]/Table1_1[[#This Row],[الكمية]]</f>
        <v>7396</v>
      </c>
      <c r="O94">
        <v>7396</v>
      </c>
      <c r="P94" t="s">
        <v>10</v>
      </c>
      <c r="Q94">
        <v>11</v>
      </c>
      <c r="R94">
        <v>9</v>
      </c>
      <c r="S94" t="str">
        <f>IF(Table1_1[[#This Row],[مده التسليم (الفعلى)]]&lt;=Table1_1[[#This Row],[مده التسليم(الهدف)]],"تم التسليم في الموعد","لم يتم التسليم في الموعد")</f>
        <v>تم التسليم في الموعد</v>
      </c>
      <c r="T94" s="11">
        <v>45613</v>
      </c>
      <c r="U94" s="11">
        <v>45624</v>
      </c>
      <c r="V94" s="11">
        <v>45622</v>
      </c>
      <c r="W94" t="s">
        <v>140</v>
      </c>
      <c r="X94" t="s">
        <v>139</v>
      </c>
    </row>
    <row r="95" spans="1:24">
      <c r="A95" t="s">
        <v>91</v>
      </c>
      <c r="B95" t="s">
        <v>278</v>
      </c>
      <c r="C95" t="s">
        <v>190</v>
      </c>
      <c r="D95" s="19" t="s">
        <v>271</v>
      </c>
      <c r="E95" t="s">
        <v>4</v>
      </c>
      <c r="F95" t="s">
        <v>105</v>
      </c>
      <c r="G95" s="12" t="s">
        <v>117</v>
      </c>
      <c r="H95" s="12" t="s">
        <v>109</v>
      </c>
      <c r="I95">
        <v>90</v>
      </c>
      <c r="J95" t="s">
        <v>119</v>
      </c>
      <c r="K95" t="s">
        <v>281</v>
      </c>
      <c r="M95">
        <v>1</v>
      </c>
      <c r="N95" s="13">
        <f>Table1_1[[#This Row],[سعر البيع ]]/Table1_1[[#This Row],[الكمية]]</f>
        <v>13439</v>
      </c>
      <c r="O95">
        <v>13439</v>
      </c>
      <c r="P95" t="s">
        <v>275</v>
      </c>
      <c r="Q95">
        <v>15</v>
      </c>
      <c r="R95">
        <v>6</v>
      </c>
      <c r="S95" t="str">
        <f>IF(Table1_1[[#This Row],[مده التسليم (الفعلى)]]&lt;=Table1_1[[#This Row],[مده التسليم(الهدف)]],"تم التسليم في الموعد","لم يتم التسليم في الموعد")</f>
        <v>تم التسليم في الموعد</v>
      </c>
      <c r="T95" s="11">
        <v>45616</v>
      </c>
      <c r="U95" s="11">
        <v>45631</v>
      </c>
      <c r="V95" s="11">
        <v>45622</v>
      </c>
      <c r="W95" t="s">
        <v>140</v>
      </c>
      <c r="X95" t="s">
        <v>139</v>
      </c>
    </row>
    <row r="96" spans="1:24">
      <c r="A96" t="s">
        <v>269</v>
      </c>
      <c r="B96" t="s">
        <v>279</v>
      </c>
      <c r="C96" t="s">
        <v>31</v>
      </c>
      <c r="D96" s="19" t="s">
        <v>272</v>
      </c>
      <c r="E96" t="s">
        <v>28</v>
      </c>
      <c r="F96" t="s">
        <v>105</v>
      </c>
      <c r="G96" s="12" t="s">
        <v>191</v>
      </c>
      <c r="H96" s="12" t="s">
        <v>192</v>
      </c>
      <c r="I96">
        <v>160</v>
      </c>
      <c r="J96" t="s">
        <v>119</v>
      </c>
      <c r="K96" t="s">
        <v>281</v>
      </c>
      <c r="M96">
        <v>1</v>
      </c>
      <c r="N96" s="13">
        <f>Table1_1[[#This Row],[سعر البيع ]]/Table1_1[[#This Row],[الكمية]]</f>
        <v>5100</v>
      </c>
      <c r="O96">
        <v>5100</v>
      </c>
      <c r="P96" t="s">
        <v>61</v>
      </c>
      <c r="Q96">
        <v>24</v>
      </c>
      <c r="R96">
        <v>0</v>
      </c>
      <c r="T96" s="11">
        <v>45610</v>
      </c>
      <c r="U96" s="11">
        <v>45634</v>
      </c>
      <c r="X96" t="s">
        <v>311</v>
      </c>
    </row>
    <row r="97" spans="1:24">
      <c r="A97" t="s">
        <v>193</v>
      </c>
      <c r="B97" t="s">
        <v>278</v>
      </c>
      <c r="C97" t="s">
        <v>33</v>
      </c>
      <c r="D97" s="19" t="s">
        <v>272</v>
      </c>
      <c r="E97" t="s">
        <v>194</v>
      </c>
      <c r="F97" t="s">
        <v>105</v>
      </c>
      <c r="G97" s="12" t="s">
        <v>108</v>
      </c>
      <c r="H97" s="12" t="s">
        <v>195</v>
      </c>
      <c r="I97">
        <v>160</v>
      </c>
      <c r="J97" t="s">
        <v>126</v>
      </c>
      <c r="K97" t="s">
        <v>118</v>
      </c>
      <c r="M97">
        <v>1</v>
      </c>
      <c r="N97" s="13">
        <f>Table1_1[[#This Row],[سعر البيع ]]/Table1_1[[#This Row],[الكمية]]</f>
        <v>6000</v>
      </c>
      <c r="O97">
        <v>6000</v>
      </c>
      <c r="P97" t="s">
        <v>275</v>
      </c>
      <c r="Q97">
        <v>10</v>
      </c>
      <c r="R97">
        <v>5</v>
      </c>
      <c r="S97" t="str">
        <f>IF(Table1_1[[#This Row],[مده التسليم (الفعلى)]]&lt;=Table1_1[[#This Row],[مده التسليم(الهدف)]],"تم التسليم في الموعد","لم يتم التسليم في الموعد")</f>
        <v>تم التسليم في الموعد</v>
      </c>
      <c r="T97" s="11">
        <v>45618</v>
      </c>
      <c r="U97" s="11">
        <v>45628</v>
      </c>
      <c r="V97" s="11">
        <v>45623</v>
      </c>
      <c r="W97" t="s">
        <v>140</v>
      </c>
      <c r="X97" t="s">
        <v>139</v>
      </c>
    </row>
    <row r="98" spans="1:24">
      <c r="A98" t="s">
        <v>266</v>
      </c>
      <c r="B98" t="s">
        <v>278</v>
      </c>
      <c r="C98" t="s">
        <v>196</v>
      </c>
      <c r="D98" s="19" t="s">
        <v>272</v>
      </c>
      <c r="E98" t="s">
        <v>4</v>
      </c>
      <c r="F98" t="s">
        <v>105</v>
      </c>
      <c r="G98" s="12" t="s">
        <v>191</v>
      </c>
      <c r="H98" s="12" t="s">
        <v>197</v>
      </c>
      <c r="I98">
        <v>120</v>
      </c>
      <c r="J98" t="s">
        <v>123</v>
      </c>
      <c r="K98" t="s">
        <v>281</v>
      </c>
      <c r="M98">
        <v>1</v>
      </c>
      <c r="N98" s="13">
        <f>Table1_1[[#This Row],[سعر البيع ]]/Table1_1[[#This Row],[الكمية]]</f>
        <v>10885</v>
      </c>
      <c r="O98">
        <v>10885</v>
      </c>
      <c r="P98" t="s">
        <v>275</v>
      </c>
      <c r="Q98">
        <v>11</v>
      </c>
      <c r="R98">
        <v>16</v>
      </c>
      <c r="S98" t="str">
        <f>IF(Table1_1[[#This Row],[مده التسليم (الفعلى)]]&lt;=Table1_1[[#This Row],[مده التسليم(الهدف)]],"تم التسليم في الموعد","لم يتم التسليم في الموعد")</f>
        <v>لم يتم التسليم في الموعد</v>
      </c>
      <c r="T98" s="11">
        <v>45620</v>
      </c>
      <c r="U98" s="11">
        <v>45631</v>
      </c>
      <c r="V98" s="11">
        <v>45636</v>
      </c>
      <c r="W98" t="s">
        <v>140</v>
      </c>
      <c r="X98" t="s">
        <v>139</v>
      </c>
    </row>
    <row r="99" spans="1:24">
      <c r="A99" t="s">
        <v>269</v>
      </c>
      <c r="B99" t="s">
        <v>279</v>
      </c>
      <c r="C99" t="s">
        <v>31</v>
      </c>
      <c r="D99" s="19" t="s">
        <v>272</v>
      </c>
      <c r="E99" t="s">
        <v>28</v>
      </c>
      <c r="F99" t="s">
        <v>115</v>
      </c>
      <c r="G99" s="12" t="s">
        <v>198</v>
      </c>
      <c r="H99" s="12" t="s">
        <v>198</v>
      </c>
      <c r="J99" t="s">
        <v>281</v>
      </c>
      <c r="K99" t="s">
        <v>281</v>
      </c>
      <c r="M99">
        <v>1</v>
      </c>
      <c r="N99" s="13">
        <f>Table1_1[[#This Row],[سعر البيع ]]/Table1_1[[#This Row],[الكمية]]</f>
        <v>6000</v>
      </c>
      <c r="O99">
        <v>6000</v>
      </c>
      <c r="P99" t="s">
        <v>275</v>
      </c>
      <c r="Q99">
        <v>16</v>
      </c>
      <c r="R99">
        <v>1</v>
      </c>
      <c r="S99" t="str">
        <f>IF(Table1_1[[#This Row],[مده التسليم (الفعلى)]]&lt;=Table1_1[[#This Row],[مده التسليم(الهدف)]],"تم التسليم في الموعد","لم يتم التسليم في الموعد")</f>
        <v>تم التسليم في الموعد</v>
      </c>
      <c r="T99" s="11">
        <v>45615</v>
      </c>
      <c r="U99" s="11">
        <v>45631</v>
      </c>
      <c r="V99" s="11">
        <v>45616</v>
      </c>
      <c r="W99" t="s">
        <v>199</v>
      </c>
      <c r="X99" t="s">
        <v>139</v>
      </c>
    </row>
    <row r="100" spans="1:24">
      <c r="A100" t="s">
        <v>200</v>
      </c>
      <c r="B100" t="s">
        <v>278</v>
      </c>
      <c r="C100" t="s">
        <v>201</v>
      </c>
      <c r="D100" s="19" t="s">
        <v>312</v>
      </c>
      <c r="E100" t="s">
        <v>4</v>
      </c>
      <c r="F100" t="s">
        <v>202</v>
      </c>
      <c r="H100" s="12" t="s">
        <v>203</v>
      </c>
      <c r="J100" t="s">
        <v>281</v>
      </c>
      <c r="K100" t="s">
        <v>281</v>
      </c>
      <c r="M100">
        <v>1</v>
      </c>
      <c r="N100" s="13">
        <f>Table1_1[[#This Row],[سعر البيع ]]/Table1_1[[#This Row],[الكمية]]</f>
        <v>8449</v>
      </c>
      <c r="O100">
        <v>8449</v>
      </c>
      <c r="P100" t="s">
        <v>10</v>
      </c>
      <c r="Q100">
        <v>13</v>
      </c>
      <c r="R100">
        <v>26</v>
      </c>
      <c r="S100" t="str">
        <f>IF(Table1_1[[#This Row],[مده التسليم (الفعلى)]]&lt;=Table1_1[[#This Row],[مده التسليم(الهدف)]],"تم التسليم في الموعد","لم يتم التسليم في الموعد")</f>
        <v>لم يتم التسليم في الموعد</v>
      </c>
      <c r="T100" s="11">
        <v>45623</v>
      </c>
      <c r="U100" s="11">
        <v>45636</v>
      </c>
      <c r="V100" s="11">
        <v>45649</v>
      </c>
      <c r="W100" t="s">
        <v>20</v>
      </c>
      <c r="X100" t="s">
        <v>139</v>
      </c>
    </row>
    <row r="101" spans="1:24">
      <c r="A101" t="s">
        <v>204</v>
      </c>
      <c r="B101" t="s">
        <v>278</v>
      </c>
      <c r="C101" t="s">
        <v>41</v>
      </c>
      <c r="D101" s="19" t="s">
        <v>272</v>
      </c>
      <c r="E101" t="s">
        <v>4</v>
      </c>
      <c r="F101" t="s">
        <v>202</v>
      </c>
      <c r="G101" s="12" t="s">
        <v>188</v>
      </c>
      <c r="H101" s="12" t="s">
        <v>205</v>
      </c>
      <c r="J101" t="s">
        <v>118</v>
      </c>
      <c r="K101" t="s">
        <v>206</v>
      </c>
      <c r="M101">
        <v>1</v>
      </c>
      <c r="N101" s="13">
        <f>Table1_1[[#This Row],[سعر البيع ]]/Table1_1[[#This Row],[الكمية]]</f>
        <v>10249</v>
      </c>
      <c r="O101">
        <v>10249</v>
      </c>
      <c r="P101" t="s">
        <v>275</v>
      </c>
      <c r="Q101">
        <v>13</v>
      </c>
      <c r="R101">
        <v>22</v>
      </c>
      <c r="S101" t="str">
        <f>IF(Table1_1[[#This Row],[مده التسليم (الفعلى)]]&lt;=Table1_1[[#This Row],[مده التسليم(الهدف)]],"تم التسليم في الموعد","لم يتم التسليم في الموعد")</f>
        <v>لم يتم التسليم في الموعد</v>
      </c>
      <c r="T101" s="11">
        <v>45623</v>
      </c>
      <c r="U101" s="11">
        <v>45636</v>
      </c>
      <c r="V101" s="11">
        <v>45645</v>
      </c>
      <c r="W101" t="s">
        <v>140</v>
      </c>
      <c r="X101" t="s">
        <v>139</v>
      </c>
    </row>
    <row r="102" spans="1:24">
      <c r="A102" t="s">
        <v>207</v>
      </c>
      <c r="B102" t="s">
        <v>278</v>
      </c>
      <c r="C102" t="s">
        <v>208</v>
      </c>
      <c r="D102" s="19" t="s">
        <v>312</v>
      </c>
      <c r="E102" t="s">
        <v>4</v>
      </c>
      <c r="F102" t="s">
        <v>105</v>
      </c>
      <c r="G102" s="12" t="s">
        <v>117</v>
      </c>
      <c r="H102" s="12" t="s">
        <v>110</v>
      </c>
      <c r="I102">
        <v>100</v>
      </c>
      <c r="J102" t="s">
        <v>119</v>
      </c>
      <c r="K102" t="s">
        <v>281</v>
      </c>
      <c r="M102">
        <v>1</v>
      </c>
      <c r="N102" s="13">
        <f>Table1_1[[#This Row],[سعر البيع ]]/Table1_1[[#This Row],[الكمية]]</f>
        <v>14905</v>
      </c>
      <c r="O102">
        <v>14905</v>
      </c>
      <c r="P102" t="s">
        <v>10</v>
      </c>
      <c r="Q102">
        <v>16</v>
      </c>
      <c r="R102">
        <v>0</v>
      </c>
      <c r="T102" s="11">
        <v>45625</v>
      </c>
      <c r="U102" s="11">
        <v>45641</v>
      </c>
      <c r="X102" t="s">
        <v>311</v>
      </c>
    </row>
    <row r="103" spans="1:24">
      <c r="A103" t="s">
        <v>210</v>
      </c>
      <c r="B103" t="s">
        <v>278</v>
      </c>
      <c r="C103" t="s">
        <v>47</v>
      </c>
      <c r="D103" s="19" t="s">
        <v>272</v>
      </c>
      <c r="E103" t="s">
        <v>4</v>
      </c>
      <c r="F103" t="s">
        <v>202</v>
      </c>
      <c r="G103" s="12" t="s">
        <v>188</v>
      </c>
      <c r="H103" s="12" t="s">
        <v>205</v>
      </c>
      <c r="J103" t="s">
        <v>146</v>
      </c>
      <c r="K103" t="s">
        <v>209</v>
      </c>
      <c r="M103">
        <v>1</v>
      </c>
      <c r="N103" s="13">
        <f>Table1_1[[#This Row],[سعر البيع ]]/Table1_1[[#This Row],[الكمية]]</f>
        <v>10249</v>
      </c>
      <c r="O103">
        <v>10249</v>
      </c>
      <c r="P103" t="s">
        <v>10</v>
      </c>
      <c r="Q103">
        <v>12</v>
      </c>
      <c r="R103">
        <v>0</v>
      </c>
      <c r="T103" s="11">
        <v>45626</v>
      </c>
      <c r="U103" s="11">
        <v>45638</v>
      </c>
      <c r="X103" t="s">
        <v>311</v>
      </c>
    </row>
    <row r="104" spans="1:24">
      <c r="A104" t="s">
        <v>210</v>
      </c>
      <c r="B104" t="s">
        <v>278</v>
      </c>
      <c r="C104" t="s">
        <v>47</v>
      </c>
      <c r="D104" s="19" t="s">
        <v>272</v>
      </c>
      <c r="E104" t="s">
        <v>4</v>
      </c>
      <c r="F104" t="s">
        <v>202</v>
      </c>
      <c r="G104" s="12" t="s">
        <v>136</v>
      </c>
      <c r="J104" t="s">
        <v>119</v>
      </c>
      <c r="K104" t="s">
        <v>209</v>
      </c>
      <c r="M104">
        <v>1</v>
      </c>
      <c r="N104" s="13">
        <f>Table1_1[[#This Row],[سعر البيع ]]/Table1_1[[#This Row],[الكمية]]</f>
        <v>9029</v>
      </c>
      <c r="O104">
        <v>9029</v>
      </c>
      <c r="P104" t="s">
        <v>10</v>
      </c>
      <c r="Q104">
        <v>12</v>
      </c>
      <c r="R104">
        <v>0</v>
      </c>
      <c r="T104" s="11">
        <v>45626</v>
      </c>
      <c r="U104" s="11">
        <v>45638</v>
      </c>
      <c r="X104" t="s">
        <v>311</v>
      </c>
    </row>
    <row r="105" spans="1:24">
      <c r="A105" t="s">
        <v>211</v>
      </c>
      <c r="B105" t="s">
        <v>278</v>
      </c>
      <c r="C105" t="s">
        <v>100</v>
      </c>
      <c r="D105" s="19" t="s">
        <v>150</v>
      </c>
      <c r="E105" t="s">
        <v>4</v>
      </c>
      <c r="F105" t="s">
        <v>202</v>
      </c>
      <c r="G105" s="12" t="s">
        <v>134</v>
      </c>
      <c r="J105" t="s">
        <v>146</v>
      </c>
      <c r="K105" t="s">
        <v>153</v>
      </c>
      <c r="M105">
        <v>1</v>
      </c>
      <c r="N105" s="13">
        <f>Table1_1[[#This Row],[سعر البيع ]]/Table1_1[[#This Row],[الكمية]]</f>
        <v>9029</v>
      </c>
      <c r="O105">
        <v>9029</v>
      </c>
      <c r="P105" t="s">
        <v>10</v>
      </c>
      <c r="Q105">
        <v>12</v>
      </c>
      <c r="R105">
        <v>0</v>
      </c>
      <c r="T105" s="11">
        <v>45626</v>
      </c>
      <c r="U105" s="11">
        <v>45638</v>
      </c>
      <c r="X105" t="s">
        <v>311</v>
      </c>
    </row>
    <row r="106" spans="1:24">
      <c r="A106" t="s">
        <v>212</v>
      </c>
      <c r="B106" t="s">
        <v>278</v>
      </c>
      <c r="C106" t="s">
        <v>213</v>
      </c>
      <c r="D106" s="19" t="s">
        <v>272</v>
      </c>
      <c r="E106" t="s">
        <v>4</v>
      </c>
      <c r="F106" t="s">
        <v>105</v>
      </c>
      <c r="G106" s="12" t="s">
        <v>188</v>
      </c>
      <c r="H106" s="12" t="s">
        <v>107</v>
      </c>
      <c r="I106">
        <v>80</v>
      </c>
      <c r="J106" t="s">
        <v>118</v>
      </c>
      <c r="K106" t="s">
        <v>281</v>
      </c>
      <c r="M106">
        <v>1</v>
      </c>
      <c r="N106" s="13">
        <f>Table1_1[[#This Row],[سعر البيع ]]/Table1_1[[#This Row],[الكمية]]</f>
        <v>12099</v>
      </c>
      <c r="O106">
        <v>12099</v>
      </c>
      <c r="P106" t="s">
        <v>10</v>
      </c>
      <c r="Q106">
        <v>15</v>
      </c>
      <c r="R106">
        <v>0</v>
      </c>
      <c r="T106" s="11">
        <v>45628</v>
      </c>
      <c r="U106" s="11">
        <v>45643</v>
      </c>
      <c r="X106" t="s">
        <v>311</v>
      </c>
    </row>
    <row r="107" spans="1:24">
      <c r="A107" t="s">
        <v>59</v>
      </c>
      <c r="B107" t="s">
        <v>279</v>
      </c>
      <c r="C107" t="s">
        <v>141</v>
      </c>
      <c r="D107" s="19" t="s">
        <v>315</v>
      </c>
      <c r="E107" t="s">
        <v>307</v>
      </c>
      <c r="F107" t="s">
        <v>105</v>
      </c>
      <c r="G107" s="12" t="s">
        <v>188</v>
      </c>
      <c r="H107" s="12" t="s">
        <v>189</v>
      </c>
      <c r="I107">
        <v>90</v>
      </c>
      <c r="J107" t="s">
        <v>121</v>
      </c>
      <c r="K107" t="s">
        <v>281</v>
      </c>
      <c r="M107">
        <v>1</v>
      </c>
      <c r="N107" s="13">
        <f>Table1_1[[#This Row],[سعر البيع ]]/Table1_1[[#This Row],[الكمية]]</f>
        <v>5217</v>
      </c>
      <c r="O107">
        <v>5217</v>
      </c>
      <c r="P107" t="s">
        <v>61</v>
      </c>
      <c r="Q107">
        <v>13</v>
      </c>
      <c r="R107">
        <v>9</v>
      </c>
      <c r="S107" t="str">
        <f>IF(Table1_1[[#This Row],[مده التسليم (الفعلى)]]&lt;=Table1_1[[#This Row],[مده التسليم(الهدف)]],"تم التسليم في الموعد","لم يتم التسليم في الموعد")</f>
        <v>تم التسليم في الموعد</v>
      </c>
      <c r="T107" s="11">
        <v>45627</v>
      </c>
      <c r="U107" s="11">
        <v>45640</v>
      </c>
      <c r="V107" s="11">
        <v>45636</v>
      </c>
      <c r="W107" t="s">
        <v>140</v>
      </c>
      <c r="X107" t="s">
        <v>139</v>
      </c>
    </row>
    <row r="108" spans="1:24">
      <c r="A108" t="s">
        <v>267</v>
      </c>
      <c r="B108" t="s">
        <v>278</v>
      </c>
      <c r="C108" t="s">
        <v>94</v>
      </c>
      <c r="D108" s="19" t="s">
        <v>315</v>
      </c>
      <c r="E108" t="s">
        <v>4</v>
      </c>
      <c r="F108" t="s">
        <v>105</v>
      </c>
      <c r="G108" s="12" t="s">
        <v>106</v>
      </c>
      <c r="J108" t="s">
        <v>119</v>
      </c>
      <c r="K108" t="s">
        <v>281</v>
      </c>
      <c r="M108">
        <v>1</v>
      </c>
      <c r="N108" s="13">
        <f>Table1_1[[#This Row],[سعر البيع ]]/Table1_1[[#This Row],[الكمية]]</f>
        <v>10249</v>
      </c>
      <c r="O108">
        <v>10249</v>
      </c>
      <c r="P108" t="s">
        <v>275</v>
      </c>
      <c r="Q108">
        <v>10</v>
      </c>
      <c r="R108">
        <v>15</v>
      </c>
      <c r="S108" t="str">
        <f>IF(Table1_1[[#This Row],[مده التسليم (الفعلى)]]&lt;=Table1_1[[#This Row],[مده التسليم(الهدف)]],"تم التسليم في الموعد","لم يتم التسليم في الموعد")</f>
        <v>لم يتم التسليم في الموعد</v>
      </c>
      <c r="T108" s="11">
        <v>45630</v>
      </c>
      <c r="U108" s="11">
        <v>45640</v>
      </c>
      <c r="V108" s="11">
        <v>45645</v>
      </c>
      <c r="W108" t="s">
        <v>140</v>
      </c>
      <c r="X108" t="s">
        <v>139</v>
      </c>
    </row>
    <row r="109" spans="1:24">
      <c r="A109" t="s">
        <v>214</v>
      </c>
      <c r="B109" t="s">
        <v>278</v>
      </c>
      <c r="C109" t="s">
        <v>215</v>
      </c>
      <c r="D109" s="19" t="s">
        <v>272</v>
      </c>
      <c r="E109" t="s">
        <v>36</v>
      </c>
      <c r="F109" t="s">
        <v>105</v>
      </c>
      <c r="G109" s="12" t="s">
        <v>117</v>
      </c>
      <c r="H109" s="12" t="s">
        <v>109</v>
      </c>
      <c r="J109" t="s">
        <v>119</v>
      </c>
      <c r="K109" t="s">
        <v>281</v>
      </c>
      <c r="M109">
        <v>1</v>
      </c>
      <c r="N109" s="13">
        <f>Table1_1[[#This Row],[سعر البيع ]]/Table1_1[[#This Row],[الكمية]]</f>
        <v>10445</v>
      </c>
      <c r="O109">
        <v>10445</v>
      </c>
      <c r="P109" t="s">
        <v>275</v>
      </c>
      <c r="Q109">
        <v>22</v>
      </c>
      <c r="R109">
        <v>3</v>
      </c>
      <c r="S109" t="str">
        <f>IF(Table1_1[[#This Row],[مده التسليم (الفعلى)]]&lt;=Table1_1[[#This Row],[مده التسليم(الهدف)]],"تم التسليم في الموعد","لم يتم التسليم في الموعد")</f>
        <v>تم التسليم في الموعد</v>
      </c>
      <c r="T109" s="11">
        <v>45635</v>
      </c>
      <c r="U109" s="11">
        <v>45657</v>
      </c>
      <c r="V109" s="11">
        <v>45638</v>
      </c>
      <c r="W109" t="s">
        <v>140</v>
      </c>
      <c r="X109" t="s">
        <v>139</v>
      </c>
    </row>
    <row r="110" spans="1:24">
      <c r="A110" t="s">
        <v>268</v>
      </c>
      <c r="B110" t="s">
        <v>278</v>
      </c>
      <c r="C110" t="s">
        <v>47</v>
      </c>
      <c r="D110" s="19" t="s">
        <v>272</v>
      </c>
      <c r="E110" t="s">
        <v>4</v>
      </c>
      <c r="F110" t="s">
        <v>202</v>
      </c>
      <c r="G110" s="12" t="s">
        <v>117</v>
      </c>
      <c r="H110" s="12" t="s">
        <v>205</v>
      </c>
      <c r="J110" t="s">
        <v>146</v>
      </c>
      <c r="K110" t="s">
        <v>209</v>
      </c>
      <c r="M110">
        <v>1</v>
      </c>
      <c r="N110" s="13">
        <f>Table1_1[[#This Row],[سعر البيع ]]/Table1_1[[#This Row],[الكمية]]</f>
        <v>11199</v>
      </c>
      <c r="O110">
        <v>11199</v>
      </c>
      <c r="P110" t="s">
        <v>275</v>
      </c>
      <c r="Q110">
        <v>12</v>
      </c>
      <c r="R110">
        <v>7</v>
      </c>
      <c r="S110" t="str">
        <f>IF(Table1_1[[#This Row],[مده التسليم (الفعلى)]]&lt;=Table1_1[[#This Row],[مده التسليم(الهدف)]],"تم التسليم في الموعد","لم يتم التسليم في الموعد")</f>
        <v>تم التسليم في الموعد</v>
      </c>
      <c r="T110" s="11">
        <v>45638</v>
      </c>
      <c r="U110" s="11">
        <v>45650</v>
      </c>
      <c r="V110" s="11">
        <v>45645</v>
      </c>
      <c r="W110" t="s">
        <v>140</v>
      </c>
      <c r="X110" t="s">
        <v>139</v>
      </c>
    </row>
    <row r="111" spans="1:24">
      <c r="A111" t="s">
        <v>216</v>
      </c>
      <c r="B111" t="s">
        <v>278</v>
      </c>
      <c r="C111" t="s">
        <v>190</v>
      </c>
      <c r="D111" s="19" t="s">
        <v>271</v>
      </c>
      <c r="E111" t="s">
        <v>4</v>
      </c>
      <c r="F111" t="s">
        <v>105</v>
      </c>
      <c r="G111" s="12" t="s">
        <v>117</v>
      </c>
      <c r="H111" s="12" t="s">
        <v>107</v>
      </c>
      <c r="I111">
        <v>80</v>
      </c>
      <c r="J111" t="s">
        <v>119</v>
      </c>
      <c r="K111" t="s">
        <v>281</v>
      </c>
      <c r="M111">
        <v>1</v>
      </c>
      <c r="N111" s="13">
        <f>Table1_1[[#This Row],[سعر البيع ]]/Table1_1[[#This Row],[الكمية]]</f>
        <v>13099</v>
      </c>
      <c r="O111">
        <v>13099</v>
      </c>
      <c r="P111" t="s">
        <v>275</v>
      </c>
      <c r="Q111">
        <v>16</v>
      </c>
      <c r="R111">
        <v>17</v>
      </c>
      <c r="S111" t="str">
        <f>IF(Table1_1[[#This Row],[مده التسليم (الفعلى)]]&lt;=Table1_1[[#This Row],[مده التسليم(الهدف)]],"تم التسليم في الموعد","لم يتم التسليم في الموعد")</f>
        <v>لم يتم التسليم في الموعد</v>
      </c>
      <c r="T111" s="11">
        <v>45638</v>
      </c>
      <c r="U111" s="11">
        <v>45654</v>
      </c>
      <c r="V111" s="11">
        <v>45655</v>
      </c>
      <c r="W111" t="s">
        <v>140</v>
      </c>
      <c r="X111" t="s">
        <v>139</v>
      </c>
    </row>
    <row r="112" spans="1:24">
      <c r="A112" t="s">
        <v>36</v>
      </c>
      <c r="B112" t="s">
        <v>279</v>
      </c>
      <c r="C112" t="s">
        <v>157</v>
      </c>
      <c r="D112" s="19" t="s">
        <v>283</v>
      </c>
      <c r="E112" t="s">
        <v>36</v>
      </c>
      <c r="F112" t="s">
        <v>115</v>
      </c>
      <c r="G112" s="12" t="s">
        <v>116</v>
      </c>
      <c r="H112" s="12" t="s">
        <v>180</v>
      </c>
      <c r="J112" t="s">
        <v>146</v>
      </c>
      <c r="K112" t="s">
        <v>217</v>
      </c>
      <c r="M112">
        <v>1</v>
      </c>
      <c r="N112" s="13">
        <f>Table1_1[[#This Row],[سعر البيع ]]/Table1_1[[#This Row],[الكمية]]</f>
        <v>8700</v>
      </c>
      <c r="O112">
        <v>8700</v>
      </c>
      <c r="P112" t="s">
        <v>61</v>
      </c>
      <c r="Q112">
        <v>22</v>
      </c>
      <c r="R112">
        <v>15</v>
      </c>
      <c r="S112" t="str">
        <f>IF(Table1_1[[#This Row],[مده التسليم (الفعلى)]]&lt;=Table1_1[[#This Row],[مده التسليم(الهدف)]],"تم التسليم في الموعد","لم يتم التسليم في الموعد")</f>
        <v>تم التسليم في الموعد</v>
      </c>
      <c r="T112" s="11">
        <v>45640</v>
      </c>
      <c r="U112" s="11">
        <v>45662</v>
      </c>
      <c r="V112" s="11">
        <v>45655</v>
      </c>
      <c r="W112" t="s">
        <v>140</v>
      </c>
      <c r="X112" t="s">
        <v>139</v>
      </c>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7797-B169-4240-A627-C05034F999B8}">
  <sheetPr>
    <pageSetUpPr fitToPage="1"/>
  </sheetPr>
  <dimension ref="V1:V37"/>
  <sheetViews>
    <sheetView showGridLines="0" showRowColHeaders="0" tabSelected="1" zoomScale="85" zoomScaleNormal="67" zoomScaleSheetLayoutView="77" workbookViewId="0">
      <selection activeCell="J39" sqref="J39"/>
      <extLst>
        <ext xmlns:xlsdti="http://schemas.microsoft.com/office/spreadsheetml/2023/showDataTypeIcons" uri="{77bfe23e-c014-4d31-8a63-9c772dbf06b6}">
          <xlsdti:showDataTypeIcons visible="0"/>
        </ext>
      </extLst>
    </sheetView>
  </sheetViews>
  <sheetFormatPr defaultRowHeight="14.4"/>
  <cols>
    <col min="1" max="30" width="8.33203125" style="20" customWidth="1"/>
    <col min="31" max="16384" width="8.88671875" style="20"/>
  </cols>
  <sheetData>
    <row r="1" s="20" customFormat="1" ht="18.45" customHeight="1"/>
    <row r="2" s="20" customFormat="1" ht="18.45" customHeight="1"/>
    <row r="3" s="20" customFormat="1" ht="18.45" customHeight="1"/>
    <row r="4" s="20" customFormat="1" ht="18.45" customHeight="1"/>
    <row r="5" s="20" customFormat="1" ht="18.45" customHeight="1"/>
    <row r="6" s="20" customFormat="1" ht="18.45" customHeight="1"/>
    <row r="7" s="20" customFormat="1" ht="18.45" customHeight="1"/>
    <row r="8" s="20" customFormat="1" ht="18.45" customHeight="1"/>
    <row r="9" s="20" customFormat="1" ht="18.45" customHeight="1"/>
    <row r="10" s="20" customFormat="1" ht="18.45" customHeight="1"/>
    <row r="11" s="20" customFormat="1" ht="18.45" customHeight="1"/>
    <row r="12" s="20" customFormat="1" ht="18.45" customHeight="1"/>
    <row r="13" s="20" customFormat="1" ht="18.45" customHeight="1"/>
    <row r="14" s="20" customFormat="1" ht="18.45" customHeight="1"/>
    <row r="15" s="20" customFormat="1" ht="18.45" customHeight="1"/>
    <row r="16" s="20" customFormat="1" ht="18.45" customHeight="1"/>
    <row r="17" spans="22:22" ht="18.45" customHeight="1"/>
    <row r="18" spans="22:22" ht="18.45" customHeight="1"/>
    <row r="19" spans="22:22" ht="18.45" customHeight="1">
      <c r="V19" s="20" t="e" vm="1">
        <v>#VALUE!</v>
      </c>
    </row>
    <row r="20" spans="22:22" ht="18.45" customHeight="1"/>
    <row r="21" spans="22:22" ht="18.45" customHeight="1"/>
    <row r="22" spans="22:22" ht="18.45" customHeight="1"/>
    <row r="23" spans="22:22" ht="18.45" customHeight="1"/>
    <row r="24" spans="22:22" ht="18.45" customHeight="1"/>
    <row r="25" spans="22:22" ht="18.45" customHeight="1"/>
    <row r="26" spans="22:22" ht="18.45" customHeight="1"/>
    <row r="27" spans="22:22" ht="18.45" customHeight="1"/>
    <row r="28" spans="22:22" ht="18.45" customHeight="1"/>
    <row r="29" spans="22:22" ht="18.45" customHeight="1"/>
    <row r="30" spans="22:22" ht="18.45" customHeight="1"/>
    <row r="31" spans="22:22" ht="18.45" customHeight="1"/>
    <row r="32" spans="22:22" ht="18.45" customHeight="1"/>
    <row r="33" s="20" customFormat="1" ht="18.45" customHeight="1"/>
    <row r="34" s="20" customFormat="1" ht="18.45" customHeight="1"/>
    <row r="35" s="20" customFormat="1" ht="18.45" customHeight="1"/>
    <row r="36" s="20" customFormat="1" ht="18.45" customHeight="1"/>
    <row r="37" s="20" customFormat="1" ht="18.45" customHeight="1"/>
  </sheetData>
  <sheetProtection sheet="1" objects="1" scenarios="1" selectLockedCells="1" selectUnlockedCells="1"/>
  <pageMargins left="0.25" right="0.25" top="0.75" bottom="0.75" header="0.3" footer="0.3"/>
  <pageSetup fitToWidth="0" fitToHeight="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الارشادات</vt:lpstr>
      <vt:lpstr>Pivot table</vt:lpstr>
      <vt:lpstr>Source 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Tomader Abd elhamid</cp:lastModifiedBy>
  <dcterms:created xsi:type="dcterms:W3CDTF">2015-06-05T18:17:20Z</dcterms:created>
  <dcterms:modified xsi:type="dcterms:W3CDTF">2026-08-11T23:52:48Z</dcterms:modified>
</cp:coreProperties>
</file>